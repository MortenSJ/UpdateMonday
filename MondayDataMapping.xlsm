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https://regionmidtjylland-my.sharepoint.com/personal/mojaco_onerm_dk/Documents/Skrivebord/UpdateMonday/"/>
    </mc:Choice>
  </mc:AlternateContent>
  <xr:revisionPtr revIDLastSave="57" documentId="13_ncr:1_{8911A251-22A0-4FFA-9CAD-17381D07C9A3}" xr6:coauthVersionLast="47" xr6:coauthVersionMax="47" xr10:uidLastSave="{7F81B2E1-BAD1-48A6-B2B8-91268391A1C4}"/>
  <bookViews>
    <workbookView xWindow="-25170" yWindow="1785" windowWidth="23355" windowHeight="11385" activeTab="2" xr2:uid="{00000000-000D-0000-FFFF-FFFF00000000}"/>
  </bookViews>
  <sheets>
    <sheet name="Monday" sheetId="2" r:id="rId1"/>
    <sheet name="mondayID" sheetId="5" r:id="rId2"/>
    <sheet name="Elastic" sheetId="3" r:id="rId3"/>
  </sheets>
  <definedNames>
    <definedName name="_xlnm._FilterDatabase" localSheetId="2" hidden="1">Elastic!$A$1:$C$1</definedName>
    <definedName name="_xlnm._FilterDatabase" localSheetId="0" hidden="1">Monday!$A$1:$F$1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" i="2" l="1"/>
  <c r="C50" i="2"/>
  <c r="C49" i="2"/>
  <c r="C95" i="2"/>
  <c r="C91" i="2"/>
  <c r="C70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2" i="2"/>
  <c r="C93" i="2"/>
  <c r="C2" i="2"/>
  <c r="F88" i="2"/>
  <c r="F2" i="2"/>
  <c r="F3" i="2"/>
  <c r="F4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3" i="2"/>
  <c r="F34" i="2"/>
  <c r="F35" i="2"/>
  <c r="F36" i="2"/>
  <c r="F37" i="2"/>
  <c r="F38" i="2"/>
  <c r="F39" i="2"/>
  <c r="F40" i="2"/>
  <c r="F41" i="2"/>
  <c r="F42" i="2"/>
  <c r="F44" i="2"/>
  <c r="F45" i="2"/>
  <c r="F46" i="2"/>
  <c r="F47" i="2"/>
  <c r="F48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71" i="2"/>
  <c r="F72" i="2"/>
  <c r="F73" i="2"/>
  <c r="F75" i="2"/>
  <c r="F76" i="2"/>
  <c r="F77" i="2"/>
  <c r="F80" i="2"/>
  <c r="F81" i="2"/>
  <c r="F82" i="2"/>
  <c r="F83" i="2"/>
  <c r="F84" i="2"/>
  <c r="F85" i="2"/>
  <c r="F86" i="2"/>
  <c r="F89" i="2"/>
  <c r="F90" i="2"/>
  <c r="F92" i="2"/>
  <c r="F32" i="2"/>
  <c r="F93" i="2"/>
  <c r="F43" i="2"/>
  <c r="F69" i="2"/>
  <c r="F79" i="2"/>
  <c r="F78" i="2"/>
  <c r="F87" i="2"/>
  <c r="F74" i="2"/>
</calcChain>
</file>

<file path=xl/sharedStrings.xml><?xml version="1.0" encoding="utf-8"?>
<sst xmlns="http://schemas.openxmlformats.org/spreadsheetml/2006/main" count="608" uniqueCount="224">
  <si>
    <t>Name</t>
  </si>
  <si>
    <t>0699 Kopiere patientoplysninger fra MidtEPJ over i EG Clinea</t>
  </si>
  <si>
    <t>0018 - Bestilling af bioanalytiker (kopi af 0018 fra AUH)</t>
  </si>
  <si>
    <t>0123 - Bogføring af fakturaer</t>
  </si>
  <si>
    <t>0268 - Visiteringsrobot (RITM0532588)</t>
  </si>
  <si>
    <t>0306 - Godkendelse af prøvesvar I Akut (RITM0600545)</t>
  </si>
  <si>
    <t>0306 - Godkendelse af prøvesvar i Kvindesygdomme</t>
  </si>
  <si>
    <t>0306 - Godkendelse af prøvesvar i Urinvejs kir.</t>
  </si>
  <si>
    <t>0306 - Godkendelse af prøvesvar i ØNH</t>
  </si>
  <si>
    <t>0329 - Automatisk tildeling af bookingrettigheder</t>
  </si>
  <si>
    <t>0345 - RisStandardbeskrivelser</t>
  </si>
  <si>
    <t>0370 - Fordeling af FEA</t>
  </si>
  <si>
    <t>0371 - Bestille eGFR på CT-undersøgelser</t>
  </si>
  <si>
    <t>0381 - Opdatering af døgnvariation  klinisklogistik</t>
  </si>
  <si>
    <t>0381 - Ændring_Disponible_Senge_CCL - RITM0655828</t>
  </si>
  <si>
    <t>0381 - Ændring_Disponible_Senge_CCL Akut på tværs</t>
  </si>
  <si>
    <t>0420 - Proces der sætter nyfødte og mødre på patientlister</t>
  </si>
  <si>
    <t>0421 - Tjek om der er lavet PKU og fjerne fra patientliste (RITM0701899)</t>
  </si>
  <si>
    <t>0422 - DIS Kapelregninger i Klinisk Logistik - Regninger</t>
  </si>
  <si>
    <t>0422 - EXE Kapelregninger i Klinisk Logistik - Breve</t>
  </si>
  <si>
    <t>0440 - Seponering af gamle SFIer (RITM0711426)</t>
  </si>
  <si>
    <t>0468 Opslag af BI Cpr i EPJ</t>
  </si>
  <si>
    <t>0481 - Registrering af diagnose på virtuelle kontakter</t>
  </si>
  <si>
    <t>0485 - Fjernelse af Farvemarkeringer i MidtEPJ ifm udskrivning</t>
  </si>
  <si>
    <t>0485 - Fjernelse af Farvemarkeringer i MidtEPJ ifm udskrivning Børn og Unge</t>
  </si>
  <si>
    <t>0485 - Fjernelse af Farvemarkeringer i MidtEPJ ifm udskrivning Hjerte</t>
  </si>
  <si>
    <t>0485 - Fjernelse af Farvemarkeringer i MidtEPJ ifm udskrivning Kvindesygdomme og Fødsler</t>
  </si>
  <si>
    <t>0485 - Fjernelse af Farvemarkeringer i MidtEPJ ifm udskrivning Mave/Tarm kirurgisk</t>
  </si>
  <si>
    <t>0485 - Fjernelse af Farvemarkeringer i MidtEPJ ifm udskrivning Neurologisk</t>
  </si>
  <si>
    <t>0485 - Fjernelse af Farvemarkeringer i MidtEPJ ifm udskrivning OrtopaedKir</t>
  </si>
  <si>
    <t>0485 - Fjernelse af Farvemarkeringer i MidtEPJ ifm udskrivning Urinvejskirurgisk Sengeafsnit</t>
  </si>
  <si>
    <t>0488 - Bestilling af patienttransport til røntgen vha opgavesystemet</t>
  </si>
  <si>
    <t>0494 - Kontering af Abbott fakturaer</t>
  </si>
  <si>
    <t>0494 - Kontering af Abbott fakturaer (Horsens)</t>
  </si>
  <si>
    <t>0496 Rediger_Betalingsoplysninger_i_MidtEPJ Urinvejs</t>
  </si>
  <si>
    <t>0496 Rediger_Betalingsoplysninger_i_MidtEPJ Øjen</t>
  </si>
  <si>
    <t>0496 Rediger_Betalingsoplysninger_i_MidtEPJ ØNH</t>
  </si>
  <si>
    <t>0499 - EXE Blodprøvebestilling_i_MidtEPJ</t>
  </si>
  <si>
    <t>0499 - Oprettelses af rekvisition til blodprøve fra Visitationsrobotten - 0499_Blodprovebestilling_RHG</t>
  </si>
  <si>
    <t>0519 - Udsendelse af breve</t>
  </si>
  <si>
    <t>0519 - Udsendelse af breve Øjen</t>
  </si>
  <si>
    <t>0519 - Udsendelse af breve ØNH</t>
  </si>
  <si>
    <t>0524 - Metode 2 robot (kopi af 0455)</t>
  </si>
  <si>
    <t>0528 - Seponering af SFIer ved udskrivelse</t>
  </si>
  <si>
    <t>0530 - Udsendelse af korrespondancebreve</t>
  </si>
  <si>
    <t>0534 - Oprettelse af nyfødte i Labka</t>
  </si>
  <si>
    <t>0535 - Indtastning i Vest Dansk Hjertedatabase</t>
  </si>
  <si>
    <t>0549_Bestilling_Af_Operationsspecifikke_Blodprover_CEA_Hb</t>
  </si>
  <si>
    <t>0550_Bestilling_Af_Dialyse_Blodprover</t>
  </si>
  <si>
    <t>0553 - Udtræk af SD data til budgetopfølgning</t>
  </si>
  <si>
    <t>0563 - Sætte specifikke forløbsmarkører ifm. specifikke bookingopgaver</t>
  </si>
  <si>
    <t>0569 - Indhent standardplaner ved booking i EPJ - Dispatcher til 0503</t>
  </si>
  <si>
    <t>0572 - Varemodtage fakturaer valideret fra BI udtræk - Klinik for Snorken og Søvnapnø</t>
  </si>
  <si>
    <t>0591 - Indhente standardplaner til dagsprogram - dispatcher til 0503</t>
  </si>
  <si>
    <t>0606 - Oprettelse af patienter i Emento</t>
  </si>
  <si>
    <t>0608 - DIS Bestilling af blodproever og ekg hjerteafdeling (0499)</t>
  </si>
  <si>
    <t>0609 - Udtræk og Arkivering af Ekg fra henvisninger</t>
  </si>
  <si>
    <t>0613 - Tilføje medarbejdere på vagtplan i Klinisk Logistik</t>
  </si>
  <si>
    <t>0630 - Monitorering af indkøbsvogne i RM indkøb</t>
  </si>
  <si>
    <t>0656 - Flytte CPR fra PRObop2 til EPJ</t>
  </si>
  <si>
    <t>0662 - Journalisering af samtykke i EPJ</t>
  </si>
  <si>
    <t>0662 - Journalisering af vandrejournaler</t>
  </si>
  <si>
    <t>0663 - Oprettelse af nyhenviste patienter i Heidelberg og Forum ud fra patientliste i EPJ</t>
  </si>
  <si>
    <t>0670 - rykker ved manglende varemodtagelse - AUH</t>
  </si>
  <si>
    <t>0670 - rykker ved manglende varemodtagelse - Kopi og tilretning af 0632</t>
  </si>
  <si>
    <t>0678 - Lukke forløb i høreklinikken</t>
  </si>
  <si>
    <t>0679 - Udtrækning af data fra Klinisk Logistik</t>
  </si>
  <si>
    <t>0680 - Oprette kørsel på turbestilling</t>
  </si>
  <si>
    <t>0685 - Registreringer ifbm. fødselsforberedelse</t>
  </si>
  <si>
    <t>0701 Håndtering af fakturaer fra Amgros</t>
  </si>
  <si>
    <t>0703 - Assistance til forsikringssager</t>
  </si>
  <si>
    <t>0706 - Beregning af gestationsalder af for tidligt fødte</t>
  </si>
  <si>
    <t>Queue</t>
  </si>
  <si>
    <t>Top 5000 values of queueName.keyword</t>
  </si>
  <si>
    <t>Count of records</t>
  </si>
  <si>
    <t>0613_RHG_Sterilcentralen_Tilfoj_til_Vagtplan</t>
  </si>
  <si>
    <t>0618_Patienter_til_oprettelse</t>
  </si>
  <si>
    <t>0630_Carts_to_monitor</t>
  </si>
  <si>
    <t>0640_Konica_Minolta_fakturaer_Queue</t>
  </si>
  <si>
    <t>0656_Flytte_CPR_fra_PRObop2_til_EPJ_Queue</t>
  </si>
  <si>
    <t>0662_Journaliser_Vandrejournaler</t>
  </si>
  <si>
    <t>0662_Samtykke_Høreklinikken</t>
  </si>
  <si>
    <t>0663_Queue</t>
  </si>
  <si>
    <t>0670_Ryk_For_Varemodtagelse</t>
  </si>
  <si>
    <t>0670_Ryk_For_Varemodtagelse_AUH</t>
  </si>
  <si>
    <t>0678_Lukning_af_horeapperart_forløb</t>
  </si>
  <si>
    <t>0679_Udtraek_af_data_fra_Klinisk_Logistik</t>
  </si>
  <si>
    <t>0680_Queue_turbestilling</t>
  </si>
  <si>
    <t>0685_66.40_Queue</t>
  </si>
  <si>
    <t>0699_Visiterede_Patienter</t>
  </si>
  <si>
    <t>0701_AmgrosFakturaer</t>
  </si>
  <si>
    <t>0703_Counting_Queue</t>
  </si>
  <si>
    <t>0706_Beregninger_af_gestationsalder</t>
  </si>
  <si>
    <t>Top 3 values of transactionStatus.keyword</t>
  </si>
  <si>
    <t>0528_SFI</t>
  </si>
  <si>
    <t>Successful</t>
  </si>
  <si>
    <t>0123_EXE_Bilag_Queue</t>
  </si>
  <si>
    <t>0381_Disponible_senge_CCL</t>
  </si>
  <si>
    <t>0306_Godkendelse_Af_Negativ_Prøvesvar</t>
  </si>
  <si>
    <t>0494_Kontering af fakturaer fra Abbott</t>
  </si>
  <si>
    <t>0524_Brevskabeloner</t>
  </si>
  <si>
    <t>0371_Queue_eGFR_bestilling_i_MidtEPJ_fra_RIS</t>
  </si>
  <si>
    <t>0488_Bestil_Patienttransport</t>
  </si>
  <si>
    <t>0563_ForlobsmarkorToAdd</t>
  </si>
  <si>
    <t>0553_BudgetData</t>
  </si>
  <si>
    <t>0268_Visiteringsrobot_RHG</t>
  </si>
  <si>
    <t>0440_SFI</t>
  </si>
  <si>
    <t>0530_Queue_Forsendelse_Af_Korrespondancebreve</t>
  </si>
  <si>
    <t>0421_PKU_Tjek</t>
  </si>
  <si>
    <t>0569_Standardplaner_kvindesygdomme_og_fodsler</t>
  </si>
  <si>
    <t>0496_RHG_Ojen</t>
  </si>
  <si>
    <t>0485_Fjernelse_af_farvemarkeringer_i_MidtEPJ_Queue</t>
  </si>
  <si>
    <t>0496_HEM_Neurologi_Sovnklinik</t>
  </si>
  <si>
    <t>0485_RHG_Hjerteafd_Fjernelse_af_farvemarkeringer</t>
  </si>
  <si>
    <t>0123_EXE_Bilag_Queue_RHG</t>
  </si>
  <si>
    <t>0496_RHG_ONH</t>
  </si>
  <si>
    <t>0534_Oprettelse_af_nyfødte_i_LABKA_Queue</t>
  </si>
  <si>
    <t>0306_Godkendelse_Af_Negativ_Prøvesvar_Urinvejs</t>
  </si>
  <si>
    <t>0609_Archived_Ekg</t>
  </si>
  <si>
    <t>0485_RHG_MaveTarmKir_Fjernelse_af_farvemarkeringer</t>
  </si>
  <si>
    <t>0572_Queue</t>
  </si>
  <si>
    <t>0420_CPR_til_patientliste</t>
  </si>
  <si>
    <t>0496_HEM_Ortopædkirurgisk_Klinik</t>
  </si>
  <si>
    <t>0481_RHG_Virtuel_Contacts_Queues</t>
  </si>
  <si>
    <t>0503_Exe_Indhent_standardplan</t>
  </si>
  <si>
    <t>0519_RHG_ONH_Forsendelse_af_breve</t>
  </si>
  <si>
    <t>0485_RHG_BoernOgUnge_Fjernelse_af_farvemarkeringer</t>
  </si>
  <si>
    <t>0345_RisStandardbeskrivelser</t>
  </si>
  <si>
    <t>0494_Kontering af fakturaer fra Abbott_Horsens</t>
  </si>
  <si>
    <t>0591_Standardplaner_udfra_dagsprogram</t>
  </si>
  <si>
    <t>0499_Blodprovebestilling_RHG</t>
  </si>
  <si>
    <t>0577_Queue_66.30_Procedure</t>
  </si>
  <si>
    <t>0499_Blodprovebestilling_MaveTarm_CEA_Hb</t>
  </si>
  <si>
    <t>0485_RHG_NeuroFysErg_Fjernelse_af_farvemarkeringer</t>
  </si>
  <si>
    <t>0499_Bestilling_af_Dialyse_Blodprover</t>
  </si>
  <si>
    <t>0485_RHG_Urinvejskir_Fjernelse_af_farvemarkeringer</t>
  </si>
  <si>
    <t>0608_Bestilling_af_blodproever_og_ekg_hjerteafd</t>
  </si>
  <si>
    <t>0577_Queue_66.30_Tilsyn</t>
  </si>
  <si>
    <t>0485_RHG_OrtopaedKir_Fjernelse_af_farvemarkeringer</t>
  </si>
  <si>
    <t>0496_AUH_Blodsygdomme</t>
  </si>
  <si>
    <t>0519_RHG_OEK_Forsendelse_af_breve</t>
  </si>
  <si>
    <t>0496_HEM_Ortopædkirurgisk_Rygklinik</t>
  </si>
  <si>
    <t>0306_Godkendelse_Af_Negativ_Prøvesvar_ONH</t>
  </si>
  <si>
    <t>0535_Queue</t>
  </si>
  <si>
    <t>0381_Akut_Paa_Tvaers</t>
  </si>
  <si>
    <t>0606_Patients_to_add_in_Emento</t>
  </si>
  <si>
    <t>0485_RHG_MaveTarm_Fjernelse_af_farvemarkeringer</t>
  </si>
  <si>
    <t>0468_RHG_BI_Cpr_til_EPJ</t>
  </si>
  <si>
    <t>0306_Godkendelse_Af_Negativ_Prøvesvar_Kvinde</t>
  </si>
  <si>
    <t>0577_Indhentning_af_patientinfo_Queue</t>
  </si>
  <si>
    <t>0608_Counter_Bestilling_af_blodproever_og_ekg</t>
  </si>
  <si>
    <t>0018_RHG</t>
  </si>
  <si>
    <t>0370_Fordeling_af_FEA_i_RIS_Vue</t>
  </si>
  <si>
    <t>0485_RHG_OreNaseHals_Fjernelse_af_farvemarkeringer</t>
  </si>
  <si>
    <t>0329_EXE_Tildeling_EPJ_Bookingrettighed_RHG</t>
  </si>
  <si>
    <t>0485_RHG_KraeftAfd_Fjernelse_af_farvemarkeringer</t>
  </si>
  <si>
    <t>0485_RHG_KvindeFoed_Fjernelse_af_farvemarkeringer</t>
  </si>
  <si>
    <t>0577_Queue_66.40_Tilsyn</t>
  </si>
  <si>
    <t>0422_DIS_Kapelregninger_QueueName</t>
  </si>
  <si>
    <t>0302_TolkeregningerRHG</t>
  </si>
  <si>
    <t>0381_Diurnal_Variation</t>
  </si>
  <si>
    <t>0496_RHG_URO</t>
  </si>
  <si>
    <t>0609_RHG_SnorkSoevn_Queue</t>
  </si>
  <si>
    <t>0519_RHG_Forsendelse_af_breve</t>
  </si>
  <si>
    <t>0422_EXE_Kapelregninger_QueueName</t>
  </si>
  <si>
    <t>0302_66.40.46.1_Queue</t>
  </si>
  <si>
    <t>0302_66.40.30.1_Queue</t>
  </si>
  <si>
    <t>0422_Kapelregninger_Queue</t>
  </si>
  <si>
    <t>0302_66.40.24.1_Queue</t>
  </si>
  <si>
    <t>0302_66.40.38.B_Queue</t>
  </si>
  <si>
    <t>0302_66.40.40.1_Queue</t>
  </si>
  <si>
    <t>Transaktioner</t>
  </si>
  <si>
    <t>0485 - Fjernelse af Farvemarkeringer i MidtEPJ ifm udskrivning Kræftafdelingen</t>
  </si>
  <si>
    <t>BoardID</t>
  </si>
  <si>
    <t>numbers2</t>
  </si>
  <si>
    <t>Column ID</t>
  </si>
  <si>
    <t>Item ID</t>
  </si>
  <si>
    <t>0750 - Akivering af samtykkeerklæringer i EPJ fra funktionspostkasse</t>
  </si>
  <si>
    <t>0496 Rediger_Betalingsoplysninger_i_MidtEPJ Lungemedicinsk</t>
  </si>
  <si>
    <t>0609 - Udtræk og Arkivering af Ekg fra henvisninger ØNH</t>
  </si>
  <si>
    <t>0662 - ØNH Journalisering af samtykke i EPJ</t>
  </si>
  <si>
    <t>0662 - Knoglemarvssedler Blodsygdomme</t>
  </si>
  <si>
    <t>0690 - Udsende brev-reminder om udfyldelse af spørgeskemaer i Ambuflex på patienter i RIS</t>
  </si>
  <si>
    <t>0766 - Kør Konica Minolta robot</t>
  </si>
  <si>
    <t>0640 - Konica Minolta fakturaer</t>
  </si>
  <si>
    <t>0618 - Oprettelse af elektive patienter på påvej-listen i Anywhere ud fra kommende uges program</t>
  </si>
  <si>
    <t>0577 - Indhentning af patientinfo til standardplan (RHV 66.30)</t>
  </si>
  <si>
    <t>0485 - Fjernelse af Farvemarkeringer i MidtEPJ ifm udskrivning Mave/Tarm lever inf</t>
  </si>
  <si>
    <t>0485 - Fjernelse af Farvemarkeringer i MidtEPJ ifm udskrivning Øre Næse og Hals Afd.</t>
  </si>
  <si>
    <t>0524_EXE_WORK_QUEUE</t>
  </si>
  <si>
    <t>0542_Diabetes_Queue</t>
  </si>
  <si>
    <t>0542_LungeMedicinsk_Queue</t>
  </si>
  <si>
    <t>0704_66.40_Queue</t>
  </si>
  <si>
    <t>0496_RHG_LungeMedicinsk</t>
  </si>
  <si>
    <t>0750_Queue</t>
  </si>
  <si>
    <t>0542_Ændring_af_PAL_i_MidtEPJ_Queue</t>
  </si>
  <si>
    <t>0690_RRA_Queue</t>
  </si>
  <si>
    <t>0613_RHG_Hospitalsapoteket_Fjern_fra_Vagtplan</t>
  </si>
  <si>
    <t>0685_66.40_FF%KJO_Queue</t>
  </si>
  <si>
    <t>0496_HEM_Neurologi_Skleroseklinik</t>
  </si>
  <si>
    <t>0685_66.40_KJO_Queue</t>
  </si>
  <si>
    <t>0662_Knoglemarvssedler_Blodsygdomme</t>
  </si>
  <si>
    <t>0306_Godkendelse_Af_Negativ_Prøvesvar_AUH_Urin</t>
  </si>
  <si>
    <t>0755_Bestilling_af_blodproever_ifm_zoledronsyre</t>
  </si>
  <si>
    <t>0750_Holstebro_Queue</t>
  </si>
  <si>
    <t>0371_Viborg_Queue_eGFR_bestilling_i_MidtEPJ</t>
  </si>
  <si>
    <t>0662_Samtykke_ONH</t>
  </si>
  <si>
    <t>0018_RHH</t>
  </si>
  <si>
    <t>0640_Trigger_Queue</t>
  </si>
  <si>
    <t>0519_RHG_Hoereklinik_Holst_Forsendelse_af_breve</t>
  </si>
  <si>
    <t>0613 - Fjerne medarbejdere på vagtplan i Klinisk Logistik</t>
  </si>
  <si>
    <t>0704 - Vedligeholdelse af patienter fra Mamma</t>
  </si>
  <si>
    <t>0755 - (0499) Oprettelse af blodprøver for kræftadelingen (zoledronsyre)</t>
  </si>
  <si>
    <t>0302 - Tolkeregninger RHG (Børn og unge 66.40.24).1</t>
  </si>
  <si>
    <t>0302 - Tolkeregninger RHG (Diabetes 66.40.38.B)</t>
  </si>
  <si>
    <t>0302 - Tolkeregninger RHG (Ernæring 66.40.27.A)</t>
  </si>
  <si>
    <t>0302 - Tolkeregninger RHG (Hjertesygdomme 66.40.30.1)</t>
  </si>
  <si>
    <t>0302 - Tolkeregninger RHG (Neurologisk 66.40.40.1)</t>
  </si>
  <si>
    <t>0302 - Tolkeregninger RHG (Urinvejs 66.40.46.1)</t>
  </si>
  <si>
    <t>0750 - Akivering af samtykkeerklæringer i EPJ fra funktionspostkasse Viborg</t>
  </si>
  <si>
    <t>0519 - Udsendelse af breve Høreklinik Viborg</t>
  </si>
  <si>
    <t>0519 - Udsendelse af breve Høreklinik Holstebro</t>
  </si>
  <si>
    <t>0519_RHG_Hoereklinik_Viborg_Forsendelse_af_breve</t>
  </si>
  <si>
    <t>0750_Viborg_Queue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</si>
</sst>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name val="Arial"/>
      <family val="1"/>
    </font>
    <font>
      <b/>
      <sz val="11"/>
      <color rgb="FF000000"/>
      <name val="Arial"/>
      <family val="1"/>
    </font>
    <font>
      <sz val="11"/>
      <color rgb="FF343741"/>
      <name val="Arial"/>
      <family val="2"/>
    </font>
    <font>
      <sz val="11"/>
      <color rgb="FF333333"/>
      <name val="Roboto"/>
    </font>
    <font>
      <sz val="8"/>
      <name val="Arial"/>
      <family val="1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D6D6D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0</xdr:rowOff>
        </xdr:from>
        <xdr:to>
          <xdr:col>10</xdr:col>
          <xdr:colOff>342900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Opret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8EA13-2691-4052-B2ED-983CF4AB73D6}">
  <sheetPr codeName="Ark1"/>
  <dimension ref="A1:F95"/>
  <sheetViews>
    <sheetView workbookViewId="0">
      <selection sqref="A1:A1048576"/>
    </sheetView>
  </sheetViews>
  <sheetFormatPr defaultRowHeight="14.25" x14ac:dyDescent="0.2"/>
  <cols>
    <col min="1" max="1" width="83.625" bestFit="1" customWidth="1"/>
    <col min="2" max="2" width="48.75" bestFit="1" customWidth="1"/>
    <col min="3" max="3" width="12" bestFit="1" customWidth="1"/>
    <col min="4" max="4" width="10.875" bestFit="1" customWidth="1"/>
    <col min="6" max="6" width="10.875" bestFit="1" customWidth="1"/>
  </cols>
  <sheetData>
    <row r="1" spans="1:6" ht="15" x14ac:dyDescent="0.2">
      <c r="A1" s="2" t="s">
        <v>0</v>
      </c>
      <c r="B1" t="s">
        <v>72</v>
      </c>
      <c r="C1" t="s">
        <v>171</v>
      </c>
      <c r="D1" t="s">
        <v>173</v>
      </c>
      <c r="E1" t="s">
        <v>175</v>
      </c>
      <c r="F1" t="s">
        <v>176</v>
      </c>
    </row>
    <row r="2" spans="1:6" ht="15" x14ac:dyDescent="0.25">
      <c r="A2" s="1" t="s">
        <v>2</v>
      </c>
      <c r="B2" s="3" t="s">
        <v>151</v>
      </c>
      <c r="C2">
        <f>IFERROR(VLOOKUP(B2,Elastic!A:C,3,FALSE),"")</f>
        <v>728</v>
      </c>
      <c r="D2">
        <v>2603550432</v>
      </c>
      <c r="E2" s="4" t="s">
        <v>174</v>
      </c>
      <c r="F2">
        <f>IFERROR(VLOOKUP(A2,mondayID!A:B,2,FALSE),"")</f>
        <v>2658586813</v>
      </c>
    </row>
    <row r="3" spans="1:6" ht="15" x14ac:dyDescent="0.25">
      <c r="A3" s="1" t="s">
        <v>3</v>
      </c>
      <c r="B3" s="3" t="s">
        <v>96</v>
      </c>
      <c r="C3">
        <f>IFERROR(VLOOKUP(B3,Elastic!A:C,3,FALSE),"")</f>
        <v>36932</v>
      </c>
      <c r="D3">
        <v>2603550432</v>
      </c>
      <c r="E3" s="4" t="s">
        <v>174</v>
      </c>
      <c r="F3">
        <f>IFERROR(VLOOKUP(A3,mondayID!A:B,2,FALSE),"")</f>
        <v>3166992326</v>
      </c>
    </row>
    <row r="4" spans="1:6" ht="15" x14ac:dyDescent="0.25">
      <c r="A4" s="1" t="s">
        <v>4</v>
      </c>
      <c r="B4" s="3" t="s">
        <v>105</v>
      </c>
      <c r="C4">
        <f>IFERROR(VLOOKUP(B4,Elastic!A:C,3,FALSE),"")</f>
        <v>52951</v>
      </c>
      <c r="D4">
        <v>2603550432</v>
      </c>
      <c r="E4" s="4" t="s">
        <v>174</v>
      </c>
      <c r="F4">
        <f>IFERROR(VLOOKUP(A4,mondayID!A:B,2,FALSE),"")</f>
        <v>2603550462</v>
      </c>
    </row>
    <row r="5" spans="1:6" ht="15" x14ac:dyDescent="0.25">
      <c r="A5" s="1" t="s">
        <v>213</v>
      </c>
      <c r="B5" s="3" t="s">
        <v>168</v>
      </c>
      <c r="C5">
        <f>IFERROR(VLOOKUP(B5,Elastic!A:C,3,FALSE),"")</f>
        <v>7</v>
      </c>
      <c r="D5">
        <v>2603550432</v>
      </c>
      <c r="E5" s="4" t="s">
        <v>174</v>
      </c>
      <c r="F5">
        <v>5644036469</v>
      </c>
    </row>
    <row r="6" spans="1:6" ht="15" x14ac:dyDescent="0.25">
      <c r="A6" s="1" t="s">
        <v>214</v>
      </c>
      <c r="B6" s="3" t="s">
        <v>169</v>
      </c>
      <c r="C6">
        <f>IFERROR(VLOOKUP(B6,Elastic!A:C,3,FALSE),"")</f>
        <v>5</v>
      </c>
      <c r="D6">
        <v>2603550432</v>
      </c>
      <c r="E6" s="4" t="s">
        <v>174</v>
      </c>
      <c r="F6">
        <v>5778714422</v>
      </c>
    </row>
    <row r="7" spans="1:6" ht="15" x14ac:dyDescent="0.25">
      <c r="A7" s="1" t="s">
        <v>215</v>
      </c>
      <c r="C7" t="str">
        <f>IFERROR(VLOOKUP(B7,Elastic!A:C,3,FALSE),"")</f>
        <v/>
      </c>
      <c r="D7">
        <v>2603550432</v>
      </c>
      <c r="E7" s="4" t="s">
        <v>174</v>
      </c>
      <c r="F7">
        <v>5778711580</v>
      </c>
    </row>
    <row r="8" spans="1:6" ht="15" x14ac:dyDescent="0.25">
      <c r="A8" s="1" t="s">
        <v>216</v>
      </c>
      <c r="B8" s="3" t="s">
        <v>166</v>
      </c>
      <c r="C8">
        <f>IFERROR(VLOOKUP(B8,Elastic!A:C,3,FALSE),"")</f>
        <v>11</v>
      </c>
      <c r="D8">
        <v>2603550432</v>
      </c>
      <c r="E8" s="4" t="s">
        <v>174</v>
      </c>
      <c r="F8">
        <v>4091239386</v>
      </c>
    </row>
    <row r="9" spans="1:6" ht="15" x14ac:dyDescent="0.25">
      <c r="A9" s="1" t="s">
        <v>217</v>
      </c>
      <c r="B9" s="3" t="s">
        <v>170</v>
      </c>
      <c r="C9">
        <f>IFERROR(VLOOKUP(B9,Elastic!A:C,3,FALSE),"")</f>
        <v>2</v>
      </c>
      <c r="D9">
        <v>2603550432</v>
      </c>
      <c r="E9" s="4" t="s">
        <v>174</v>
      </c>
      <c r="F9">
        <v>5778664834</v>
      </c>
    </row>
    <row r="10" spans="1:6" ht="15" x14ac:dyDescent="0.25">
      <c r="A10" s="1" t="s">
        <v>218</v>
      </c>
      <c r="B10" s="3" t="s">
        <v>165</v>
      </c>
      <c r="C10">
        <f>IFERROR(VLOOKUP(B10,Elastic!A:C,3,FALSE),"")</f>
        <v>7</v>
      </c>
      <c r="D10">
        <v>2603550432</v>
      </c>
      <c r="E10" s="4" t="s">
        <v>174</v>
      </c>
      <c r="F10">
        <v>5573001823</v>
      </c>
    </row>
    <row r="11" spans="1:6" ht="15" x14ac:dyDescent="0.25">
      <c r="A11" s="1" t="s">
        <v>5</v>
      </c>
      <c r="B11" s="3" t="s">
        <v>98</v>
      </c>
      <c r="C11">
        <f>IFERROR(VLOOKUP(B11,Elastic!A:C,3,FALSE),"")</f>
        <v>38297</v>
      </c>
      <c r="D11">
        <v>2603550432</v>
      </c>
      <c r="E11" s="4" t="s">
        <v>174</v>
      </c>
      <c r="F11">
        <f>IFERROR(VLOOKUP(A11,mondayID!A:B,2,FALSE),"")</f>
        <v>2603550546</v>
      </c>
    </row>
    <row r="12" spans="1:6" ht="15" x14ac:dyDescent="0.25">
      <c r="A12" s="1" t="s">
        <v>6</v>
      </c>
      <c r="B12" s="3" t="s">
        <v>148</v>
      </c>
      <c r="C12">
        <f>IFERROR(VLOOKUP(B12,Elastic!A:C,3,FALSE),"")</f>
        <v>135</v>
      </c>
      <c r="D12">
        <v>2603550432</v>
      </c>
      <c r="E12" s="4" t="s">
        <v>174</v>
      </c>
      <c r="F12">
        <f>IFERROR(VLOOKUP(A12,mondayID!A:B,2,FALSE),"")</f>
        <v>4014063269</v>
      </c>
    </row>
    <row r="13" spans="1:6" ht="15" x14ac:dyDescent="0.25">
      <c r="A13" s="1" t="s">
        <v>7</v>
      </c>
      <c r="B13" s="3" t="s">
        <v>117</v>
      </c>
      <c r="C13">
        <f>IFERROR(VLOOKUP(B13,Elastic!A:C,3,FALSE),"")</f>
        <v>1509</v>
      </c>
      <c r="D13">
        <v>2603550432</v>
      </c>
      <c r="E13" s="4" t="s">
        <v>174</v>
      </c>
      <c r="F13">
        <f>IFERROR(VLOOKUP(A13,mondayID!A:B,2,FALSE),"")</f>
        <v>4014173475</v>
      </c>
    </row>
    <row r="14" spans="1:6" ht="15" x14ac:dyDescent="0.25">
      <c r="A14" s="1" t="s">
        <v>8</v>
      </c>
      <c r="B14" s="3" t="s">
        <v>142</v>
      </c>
      <c r="C14">
        <f>IFERROR(VLOOKUP(B14,Elastic!A:C,3,FALSE),"")</f>
        <v>498</v>
      </c>
      <c r="D14">
        <v>2603550432</v>
      </c>
      <c r="E14" s="4" t="s">
        <v>174</v>
      </c>
      <c r="F14">
        <f>IFERROR(VLOOKUP(A14,mondayID!A:B,2,FALSE),"")</f>
        <v>4014087183</v>
      </c>
    </row>
    <row r="15" spans="1:6" ht="15" x14ac:dyDescent="0.25">
      <c r="A15" s="1" t="s">
        <v>9</v>
      </c>
      <c r="B15" s="3" t="s">
        <v>154</v>
      </c>
      <c r="C15">
        <f>IFERROR(VLOOKUP(B15,Elastic!A:C,3,FALSE),"")</f>
        <v>351</v>
      </c>
      <c r="D15">
        <v>2603550432</v>
      </c>
      <c r="E15" s="4" t="s">
        <v>174</v>
      </c>
      <c r="F15">
        <f>IFERROR(VLOOKUP(A15,mondayID!A:B,2,FALSE),"")</f>
        <v>2603550535</v>
      </c>
    </row>
    <row r="16" spans="1:6" ht="15" x14ac:dyDescent="0.25">
      <c r="A16" s="1" t="s">
        <v>10</v>
      </c>
      <c r="B16" s="3" t="s">
        <v>127</v>
      </c>
      <c r="C16">
        <f>IFERROR(VLOOKUP(B16,Elastic!A:C,3,FALSE),"")</f>
        <v>13414</v>
      </c>
      <c r="D16">
        <v>2603550432</v>
      </c>
      <c r="E16" s="4" t="s">
        <v>174</v>
      </c>
      <c r="F16">
        <f>IFERROR(VLOOKUP(A16,mondayID!A:B,2,FALSE),"")</f>
        <v>2603550599</v>
      </c>
    </row>
    <row r="17" spans="1:6" ht="15" x14ac:dyDescent="0.25">
      <c r="A17" s="1" t="s">
        <v>11</v>
      </c>
      <c r="B17" s="3" t="s">
        <v>152</v>
      </c>
      <c r="C17">
        <f>IFERROR(VLOOKUP(B17,Elastic!A:C,3,FALSE),"")</f>
        <v>1173</v>
      </c>
      <c r="D17">
        <v>2603550432</v>
      </c>
      <c r="E17" s="4" t="s">
        <v>174</v>
      </c>
      <c r="F17">
        <f>IFERROR(VLOOKUP(A17,mondayID!A:B,2,FALSE),"")</f>
        <v>2603550623</v>
      </c>
    </row>
    <row r="18" spans="1:6" ht="15" x14ac:dyDescent="0.25">
      <c r="A18" s="1" t="s">
        <v>12</v>
      </c>
      <c r="B18" s="3" t="s">
        <v>101</v>
      </c>
      <c r="C18">
        <f>IFERROR(VLOOKUP(B18,Elastic!A:C,3,FALSE),"")</f>
        <v>12830</v>
      </c>
      <c r="D18">
        <v>2603550432</v>
      </c>
      <c r="E18" s="4" t="s">
        <v>174</v>
      </c>
      <c r="F18">
        <f>IFERROR(VLOOKUP(A18,mondayID!A:B,2,FALSE),"")</f>
        <v>2603550648</v>
      </c>
    </row>
    <row r="19" spans="1:6" ht="15" x14ac:dyDescent="0.25">
      <c r="A19" s="1" t="s">
        <v>13</v>
      </c>
      <c r="B19" s="3" t="s">
        <v>160</v>
      </c>
      <c r="C19">
        <f>IFERROR(VLOOKUP(B19,Elastic!A:C,3,FALSE),"")</f>
        <v>37283</v>
      </c>
      <c r="D19">
        <v>2603550432</v>
      </c>
      <c r="E19" s="4" t="s">
        <v>174</v>
      </c>
      <c r="F19">
        <f>IFERROR(VLOOKUP(A19,mondayID!A:B,2,FALSE),"")</f>
        <v>5768465109</v>
      </c>
    </row>
    <row r="20" spans="1:6" ht="15" x14ac:dyDescent="0.25">
      <c r="A20" s="1" t="s">
        <v>14</v>
      </c>
      <c r="B20" s="3" t="s">
        <v>97</v>
      </c>
      <c r="C20">
        <f>IFERROR(VLOOKUP(B20,Elastic!A:C,3,FALSE),"")</f>
        <v>342704</v>
      </c>
      <c r="D20">
        <v>2603550432</v>
      </c>
      <c r="E20" s="4" t="s">
        <v>174</v>
      </c>
      <c r="F20">
        <f>IFERROR(VLOOKUP(A20,mondayID!A:B,2,FALSE),"")</f>
        <v>2603550671</v>
      </c>
    </row>
    <row r="21" spans="1:6" ht="15" x14ac:dyDescent="0.25">
      <c r="A21" s="1" t="s">
        <v>15</v>
      </c>
      <c r="B21" s="3" t="s">
        <v>144</v>
      </c>
      <c r="C21">
        <f>IFERROR(VLOOKUP(B21,Elastic!A:C,3,FALSE),"")</f>
        <v>9488</v>
      </c>
      <c r="D21">
        <v>2603550432</v>
      </c>
      <c r="E21" s="4" t="s">
        <v>174</v>
      </c>
      <c r="F21">
        <f>IFERROR(VLOOKUP(A21,mondayID!A:B,2,FALSE),"")</f>
        <v>5415073627</v>
      </c>
    </row>
    <row r="22" spans="1:6" ht="15" x14ac:dyDescent="0.25">
      <c r="A22" s="1" t="s">
        <v>16</v>
      </c>
      <c r="B22" s="3" t="s">
        <v>121</v>
      </c>
      <c r="C22">
        <f>IFERROR(VLOOKUP(B22,Elastic!A:C,3,FALSE),"")</f>
        <v>5390</v>
      </c>
      <c r="D22">
        <v>2603550432</v>
      </c>
      <c r="E22" s="4" t="s">
        <v>174</v>
      </c>
      <c r="F22">
        <f>IFERROR(VLOOKUP(A22,mondayID!A:B,2,FALSE),"")</f>
        <v>2603550696</v>
      </c>
    </row>
    <row r="23" spans="1:6" ht="15" x14ac:dyDescent="0.25">
      <c r="A23" s="1" t="s">
        <v>17</v>
      </c>
      <c r="B23" s="3" t="s">
        <v>108</v>
      </c>
      <c r="C23">
        <f>IFERROR(VLOOKUP(B23,Elastic!A:C,3,FALSE),"")</f>
        <v>45354</v>
      </c>
      <c r="D23">
        <v>2603550432</v>
      </c>
      <c r="E23" s="4" t="s">
        <v>174</v>
      </c>
      <c r="F23">
        <f>IFERROR(VLOOKUP(A23,mondayID!A:B,2,FALSE),"")</f>
        <v>2603550709</v>
      </c>
    </row>
    <row r="24" spans="1:6" ht="15" x14ac:dyDescent="0.25">
      <c r="A24" s="1" t="s">
        <v>18</v>
      </c>
      <c r="B24" s="3" t="s">
        <v>158</v>
      </c>
      <c r="C24">
        <f>IFERROR(VLOOKUP(B24,Elastic!A:C,3,FALSE),"")</f>
        <v>1142</v>
      </c>
      <c r="D24">
        <v>2603550432</v>
      </c>
      <c r="E24" s="4" t="s">
        <v>174</v>
      </c>
      <c r="F24">
        <f>IFERROR(VLOOKUP(A24,mondayID!A:B,2,FALSE),"")</f>
        <v>2603550723</v>
      </c>
    </row>
    <row r="25" spans="1:6" ht="15" x14ac:dyDescent="0.25">
      <c r="A25" s="1" t="s">
        <v>19</v>
      </c>
      <c r="B25" s="3" t="s">
        <v>164</v>
      </c>
      <c r="C25">
        <f>IFERROR(VLOOKUP(B25,Elastic!A:C,3,FALSE),"")</f>
        <v>267</v>
      </c>
      <c r="D25">
        <v>2603550432</v>
      </c>
      <c r="E25" s="4" t="s">
        <v>174</v>
      </c>
      <c r="F25">
        <f>IFERROR(VLOOKUP(A25,mondayID!A:B,2,FALSE),"")</f>
        <v>3602648893</v>
      </c>
    </row>
    <row r="26" spans="1:6" ht="15" x14ac:dyDescent="0.25">
      <c r="A26" s="1" t="s">
        <v>20</v>
      </c>
      <c r="B26" s="3" t="s">
        <v>106</v>
      </c>
      <c r="C26">
        <f>IFERROR(VLOOKUP(B26,Elastic!A:C,3,FALSE),"")</f>
        <v>15008</v>
      </c>
      <c r="D26">
        <v>2603550432</v>
      </c>
      <c r="E26" s="4" t="s">
        <v>174</v>
      </c>
      <c r="F26">
        <f>IFERROR(VLOOKUP(A26,mondayID!A:B,2,FALSE),"")</f>
        <v>2603550752</v>
      </c>
    </row>
    <row r="27" spans="1:6" ht="15" x14ac:dyDescent="0.25">
      <c r="A27" s="1" t="s">
        <v>21</v>
      </c>
      <c r="B27" s="3" t="s">
        <v>147</v>
      </c>
      <c r="C27">
        <f>IFERROR(VLOOKUP(B27,Elastic!A:C,3,FALSE),"")</f>
        <v>10717</v>
      </c>
      <c r="D27">
        <v>2603550432</v>
      </c>
      <c r="E27" s="4" t="s">
        <v>174</v>
      </c>
      <c r="F27">
        <f>IFERROR(VLOOKUP(A27,mondayID!A:B,2,FALSE),"")</f>
        <v>4207349701</v>
      </c>
    </row>
    <row r="28" spans="1:6" ht="15" x14ac:dyDescent="0.25">
      <c r="A28" s="1" t="s">
        <v>22</v>
      </c>
      <c r="B28" s="3" t="s">
        <v>123</v>
      </c>
      <c r="C28">
        <f>IFERROR(VLOOKUP(B28,Elastic!A:C,3,FALSE),"")</f>
        <v>846</v>
      </c>
      <c r="D28">
        <v>2603550432</v>
      </c>
      <c r="E28" s="4" t="s">
        <v>174</v>
      </c>
      <c r="F28">
        <f>IFERROR(VLOOKUP(A28,mondayID!A:B,2,FALSE),"")</f>
        <v>2603550572</v>
      </c>
    </row>
    <row r="29" spans="1:6" ht="15" x14ac:dyDescent="0.25">
      <c r="A29" s="1" t="s">
        <v>23</v>
      </c>
      <c r="B29" s="3" t="s">
        <v>111</v>
      </c>
      <c r="C29">
        <f>IFERROR(VLOOKUP(B29,Elastic!A:C,3,FALSE),"")</f>
        <v>4349</v>
      </c>
      <c r="D29">
        <v>2603550432</v>
      </c>
      <c r="E29" s="4" t="s">
        <v>174</v>
      </c>
      <c r="F29">
        <f>IFERROR(VLOOKUP(A29,mondayID!A:B,2,FALSE),"")</f>
        <v>2675190522</v>
      </c>
    </row>
    <row r="30" spans="1:6" ht="15" x14ac:dyDescent="0.25">
      <c r="A30" s="1" t="s">
        <v>24</v>
      </c>
      <c r="B30" s="3" t="s">
        <v>111</v>
      </c>
      <c r="C30">
        <f>IFERROR(VLOOKUP(B30,Elastic!A:C,3,FALSE),"")</f>
        <v>4349</v>
      </c>
      <c r="D30">
        <v>2603550432</v>
      </c>
      <c r="E30" s="4" t="s">
        <v>174</v>
      </c>
      <c r="F30">
        <f>IFERROR(VLOOKUP(A30,mondayID!A:B,2,FALSE),"")</f>
        <v>4900089456</v>
      </c>
    </row>
    <row r="31" spans="1:6" ht="15" x14ac:dyDescent="0.25">
      <c r="A31" s="1" t="s">
        <v>25</v>
      </c>
      <c r="B31" s="3" t="s">
        <v>113</v>
      </c>
      <c r="C31">
        <f>IFERROR(VLOOKUP(B31,Elastic!A:C,3,FALSE),"")</f>
        <v>5365</v>
      </c>
      <c r="D31">
        <v>2603550432</v>
      </c>
      <c r="E31" s="4" t="s">
        <v>174</v>
      </c>
      <c r="F31">
        <f>IFERROR(VLOOKUP(A31,mondayID!A:B,2,FALSE),"")</f>
        <v>4709903493</v>
      </c>
    </row>
    <row r="32" spans="1:6" ht="15" x14ac:dyDescent="0.25">
      <c r="A32" t="s">
        <v>172</v>
      </c>
      <c r="B32" s="3" t="s">
        <v>155</v>
      </c>
      <c r="C32">
        <f>IFERROR(VLOOKUP(B32,Elastic!A:C,3,FALSE),"")</f>
        <v>1372</v>
      </c>
      <c r="D32">
        <v>2603550432</v>
      </c>
      <c r="E32" s="4" t="s">
        <v>174</v>
      </c>
      <c r="F32">
        <f>IFERROR(VLOOKUP(A32,mondayID!A:B,2,FALSE),"")</f>
        <v>5996865343</v>
      </c>
    </row>
    <row r="33" spans="1:6" ht="15" x14ac:dyDescent="0.25">
      <c r="A33" s="1" t="s">
        <v>26</v>
      </c>
      <c r="B33" s="3" t="s">
        <v>156</v>
      </c>
      <c r="C33">
        <f>IFERROR(VLOOKUP(B33,Elastic!A:C,3,FALSE),"")</f>
        <v>403</v>
      </c>
      <c r="D33">
        <v>2603550432</v>
      </c>
      <c r="E33" s="4" t="s">
        <v>174</v>
      </c>
      <c r="F33">
        <f>IFERROR(VLOOKUP(A33,mondayID!A:B,2,FALSE),"")</f>
        <v>5184199765</v>
      </c>
    </row>
    <row r="34" spans="1:6" ht="15" x14ac:dyDescent="0.25">
      <c r="A34" s="1" t="s">
        <v>27</v>
      </c>
      <c r="B34" s="3" t="s">
        <v>119</v>
      </c>
      <c r="C34">
        <f>IFERROR(VLOOKUP(B34,Elastic!A:C,3,FALSE),"")</f>
        <v>4500</v>
      </c>
      <c r="D34">
        <v>2603550432</v>
      </c>
      <c r="E34" s="4" t="s">
        <v>174</v>
      </c>
      <c r="F34">
        <f>IFERROR(VLOOKUP(A34,mondayID!A:B,2,FALSE),"")</f>
        <v>5184202448</v>
      </c>
    </row>
    <row r="35" spans="1:6" ht="15" x14ac:dyDescent="0.25">
      <c r="A35" t="s">
        <v>187</v>
      </c>
      <c r="B35" s="3" t="s">
        <v>146</v>
      </c>
      <c r="C35">
        <f>IFERROR(VLOOKUP(B35,Elastic!A:C,3,FALSE),"")</f>
        <v>1221</v>
      </c>
      <c r="D35">
        <v>2603550432</v>
      </c>
      <c r="E35" s="4" t="s">
        <v>174</v>
      </c>
      <c r="F35">
        <f>IFERROR(VLOOKUP(A35,mondayID!A:B,2,FALSE),"")</f>
        <v>5099416154</v>
      </c>
    </row>
    <row r="36" spans="1:6" ht="15" x14ac:dyDescent="0.25">
      <c r="A36" s="1" t="s">
        <v>28</v>
      </c>
      <c r="B36" t="s">
        <v>133</v>
      </c>
      <c r="C36">
        <f>IFERROR(VLOOKUP(B36,Elastic!A:C,3,FALSE),"")</f>
        <v>2439</v>
      </c>
      <c r="D36">
        <v>2603550432</v>
      </c>
      <c r="E36" s="4" t="s">
        <v>174</v>
      </c>
      <c r="F36">
        <f>IFERROR(VLOOKUP(A36,mondayID!A:B,2,FALSE),"")</f>
        <v>5333208996</v>
      </c>
    </row>
    <row r="37" spans="1:6" ht="15" x14ac:dyDescent="0.25">
      <c r="A37" s="1" t="s">
        <v>29</v>
      </c>
      <c r="B37" s="3" t="s">
        <v>138</v>
      </c>
      <c r="C37">
        <f>IFERROR(VLOOKUP(B37,Elastic!A:C,3,FALSE),"")</f>
        <v>1937</v>
      </c>
      <c r="D37">
        <v>2603550432</v>
      </c>
      <c r="E37" s="4" t="s">
        <v>174</v>
      </c>
      <c r="F37">
        <f>IFERROR(VLOOKUP(A37,mondayID!A:B,2,FALSE),"")</f>
        <v>5333206337</v>
      </c>
    </row>
    <row r="38" spans="1:6" ht="15" x14ac:dyDescent="0.25">
      <c r="A38" s="1" t="s">
        <v>30</v>
      </c>
      <c r="B38" s="3" t="s">
        <v>135</v>
      </c>
      <c r="C38">
        <f>IFERROR(VLOOKUP(B38,Elastic!A:C,3,FALSE),"")</f>
        <v>2419</v>
      </c>
      <c r="D38">
        <v>2603550432</v>
      </c>
      <c r="E38" s="4" t="s">
        <v>174</v>
      </c>
      <c r="F38">
        <f>IFERROR(VLOOKUP(A38,mondayID!A:B,2,FALSE),"")</f>
        <v>5184192074</v>
      </c>
    </row>
    <row r="39" spans="1:6" ht="15" x14ac:dyDescent="0.25">
      <c r="A39" t="s">
        <v>188</v>
      </c>
      <c r="B39" s="3" t="s">
        <v>153</v>
      </c>
      <c r="C39">
        <f>IFERROR(VLOOKUP(B39,Elastic!A:C,3,FALSE),"")</f>
        <v>770</v>
      </c>
      <c r="D39">
        <v>2603550432</v>
      </c>
      <c r="E39" s="4" t="s">
        <v>174</v>
      </c>
      <c r="F39">
        <f>IFERROR(VLOOKUP(A39,mondayID!A:B,2,FALSE),"")</f>
        <v>5514356600</v>
      </c>
    </row>
    <row r="40" spans="1:6" ht="15" x14ac:dyDescent="0.25">
      <c r="A40" s="1" t="s">
        <v>31</v>
      </c>
      <c r="B40" s="3" t="s">
        <v>102</v>
      </c>
      <c r="C40">
        <f>IFERROR(VLOOKUP(B40,Elastic!A:C,3,FALSE),"")</f>
        <v>50596</v>
      </c>
      <c r="D40">
        <v>2603550432</v>
      </c>
      <c r="E40" s="4" t="s">
        <v>174</v>
      </c>
      <c r="F40">
        <f>IFERROR(VLOOKUP(A40,mondayID!A:B,2,FALSE),"")</f>
        <v>2859786881</v>
      </c>
    </row>
    <row r="41" spans="1:6" ht="15" x14ac:dyDescent="0.25">
      <c r="A41" s="1" t="s">
        <v>32</v>
      </c>
      <c r="B41" s="3" t="s">
        <v>99</v>
      </c>
      <c r="C41">
        <f>IFERROR(VLOOKUP(B41,Elastic!A:C,3,FALSE),"")</f>
        <v>8099</v>
      </c>
      <c r="D41">
        <v>2603550432</v>
      </c>
      <c r="E41" s="4" t="s">
        <v>174</v>
      </c>
      <c r="F41">
        <f>IFERROR(VLOOKUP(A41,mondayID!A:B,2,FALSE),"")</f>
        <v>3174422236</v>
      </c>
    </row>
    <row r="42" spans="1:6" ht="15" x14ac:dyDescent="0.25">
      <c r="A42" s="1" t="s">
        <v>33</v>
      </c>
      <c r="B42" s="3" t="s">
        <v>128</v>
      </c>
      <c r="C42">
        <f>IFERROR(VLOOKUP(B42,Elastic!A:C,3,FALSE),"")</f>
        <v>960</v>
      </c>
      <c r="D42">
        <v>2603550432</v>
      </c>
      <c r="E42" s="4" t="s">
        <v>174</v>
      </c>
      <c r="F42">
        <f>IFERROR(VLOOKUP(A42,mondayID!A:B,2,FALSE),"")</f>
        <v>5483132567</v>
      </c>
    </row>
    <row r="43" spans="1:6" ht="15" x14ac:dyDescent="0.25">
      <c r="A43" t="s">
        <v>178</v>
      </c>
      <c r="B43" t="s">
        <v>193</v>
      </c>
      <c r="C43">
        <f>IFERROR(VLOOKUP(B43,Elastic!A:C,3,FALSE),"")</f>
        <v>624</v>
      </c>
      <c r="D43">
        <v>2603550432</v>
      </c>
      <c r="E43" s="4" t="s">
        <v>174</v>
      </c>
      <c r="F43">
        <f>IFERROR(VLOOKUP(A43,mondayID!A:B,2,FALSE),"")</f>
        <v>5996866893</v>
      </c>
    </row>
    <row r="44" spans="1:6" ht="15" x14ac:dyDescent="0.25">
      <c r="A44" s="1" t="s">
        <v>34</v>
      </c>
      <c r="B44" s="3" t="s">
        <v>161</v>
      </c>
      <c r="C44">
        <f>IFERROR(VLOOKUP(B44,Elastic!A:C,3,FALSE),"")</f>
        <v>121</v>
      </c>
      <c r="D44">
        <v>2603550432</v>
      </c>
      <c r="E44" s="4" t="s">
        <v>174</v>
      </c>
      <c r="F44">
        <f>IFERROR(VLOOKUP(A44,mondayID!A:B,2,FALSE),"")</f>
        <v>5873700517</v>
      </c>
    </row>
    <row r="45" spans="1:6" ht="15" x14ac:dyDescent="0.25">
      <c r="A45" s="1" t="s">
        <v>35</v>
      </c>
      <c r="B45" s="3" t="s">
        <v>110</v>
      </c>
      <c r="C45">
        <f>IFERROR(VLOOKUP(B45,Elastic!A:C,3,FALSE),"")</f>
        <v>10211</v>
      </c>
      <c r="D45">
        <v>2603550432</v>
      </c>
      <c r="E45" s="4" t="s">
        <v>174</v>
      </c>
      <c r="F45">
        <f>IFERROR(VLOOKUP(A45,mondayID!A:B,2,FALSE),"")</f>
        <v>5547241627</v>
      </c>
    </row>
    <row r="46" spans="1:6" ht="15" x14ac:dyDescent="0.25">
      <c r="A46" s="1" t="s">
        <v>36</v>
      </c>
      <c r="B46" s="3" t="s">
        <v>115</v>
      </c>
      <c r="C46">
        <f>IFERROR(VLOOKUP(B46,Elastic!A:C,3,FALSE),"")</f>
        <v>2800</v>
      </c>
      <c r="D46">
        <v>2603550432</v>
      </c>
      <c r="E46" s="4" t="s">
        <v>174</v>
      </c>
      <c r="F46">
        <f>IFERROR(VLOOKUP(A46,mondayID!A:B,2,FALSE),"")</f>
        <v>3821494900</v>
      </c>
    </row>
    <row r="47" spans="1:6" ht="15" x14ac:dyDescent="0.25">
      <c r="A47" s="1" t="s">
        <v>38</v>
      </c>
      <c r="B47" s="3" t="s">
        <v>130</v>
      </c>
      <c r="C47">
        <f>IFERROR(VLOOKUP(B47,Elastic!A:C,3,FALSE),"")</f>
        <v>1171</v>
      </c>
      <c r="D47">
        <v>2603550432</v>
      </c>
      <c r="E47" s="4" t="s">
        <v>174</v>
      </c>
      <c r="F47">
        <f>IFERROR(VLOOKUP(A47,mondayID!A:B,2,FALSE),"")</f>
        <v>2774363624</v>
      </c>
    </row>
    <row r="48" spans="1:6" ht="15" x14ac:dyDescent="0.25">
      <c r="A48" s="1" t="s">
        <v>39</v>
      </c>
      <c r="B48" s="3" t="s">
        <v>163</v>
      </c>
      <c r="C48">
        <f>IFERROR(VLOOKUP(B48,Elastic!A:C,3,FALSE),"")</f>
        <v>53</v>
      </c>
      <c r="D48">
        <v>2603550432</v>
      </c>
      <c r="E48" s="4" t="s">
        <v>174</v>
      </c>
      <c r="F48">
        <f>IFERROR(VLOOKUP(A48,mondayID!A:B,2,FALSE),"")</f>
        <v>3258954290</v>
      </c>
    </row>
    <row r="49" spans="1:6" ht="15" x14ac:dyDescent="0.25">
      <c r="A49" t="s">
        <v>221</v>
      </c>
      <c r="B49" s="3" t="s">
        <v>209</v>
      </c>
      <c r="C49">
        <f>IFERROR(VLOOKUP(B49,Elastic!A:C,3,FALSE),"")</f>
        <v>12</v>
      </c>
      <c r="D49">
        <v>2603550432</v>
      </c>
      <c r="E49" s="4" t="s">
        <v>174</v>
      </c>
      <c r="F49">
        <v>6337738094</v>
      </c>
    </row>
    <row r="50" spans="1:6" ht="15" x14ac:dyDescent="0.25">
      <c r="A50" t="s">
        <v>220</v>
      </c>
      <c r="B50" s="3" t="s">
        <v>222</v>
      </c>
      <c r="C50">
        <f>IFERROR(VLOOKUP(B50,Elastic!A:C,3,FALSE),"")</f>
        <v>4</v>
      </c>
      <c r="D50">
        <v>2603550432</v>
      </c>
      <c r="E50" s="4" t="s">
        <v>174</v>
      </c>
      <c r="F50">
        <v>6337737673</v>
      </c>
    </row>
    <row r="51" spans="1:6" ht="15" x14ac:dyDescent="0.25">
      <c r="A51" s="1" t="s">
        <v>40</v>
      </c>
      <c r="B51" s="3" t="s">
        <v>140</v>
      </c>
      <c r="C51">
        <f>IFERROR(VLOOKUP(B51,Elastic!A:C,3,FALSE),"")</f>
        <v>776</v>
      </c>
      <c r="D51">
        <v>2603550432</v>
      </c>
      <c r="E51" s="4" t="s">
        <v>174</v>
      </c>
      <c r="F51">
        <f>IFERROR(VLOOKUP(A51,mondayID!A:B,2,FALSE),"")</f>
        <v>5415095420</v>
      </c>
    </row>
    <row r="52" spans="1:6" ht="15" x14ac:dyDescent="0.25">
      <c r="A52" s="1" t="s">
        <v>41</v>
      </c>
      <c r="B52" s="3" t="s">
        <v>125</v>
      </c>
      <c r="C52">
        <f>IFERROR(VLOOKUP(B52,Elastic!A:C,3,FALSE),"")</f>
        <v>2840</v>
      </c>
      <c r="D52">
        <v>2603550432</v>
      </c>
      <c r="E52" s="4" t="s">
        <v>174</v>
      </c>
      <c r="F52">
        <f>IFERROR(VLOOKUP(A52,mondayID!A:B,2,FALSE),"")</f>
        <v>5059576411</v>
      </c>
    </row>
    <row r="53" spans="1:6" ht="15" x14ac:dyDescent="0.25">
      <c r="A53" s="1" t="s">
        <v>42</v>
      </c>
      <c r="B53" s="3" t="s">
        <v>100</v>
      </c>
      <c r="C53">
        <f>IFERROR(VLOOKUP(B53,Elastic!A:C,3,FALSE),"")</f>
        <v>11367</v>
      </c>
      <c r="D53">
        <v>2603550432</v>
      </c>
      <c r="E53" s="4" t="s">
        <v>174</v>
      </c>
      <c r="F53">
        <f>IFERROR(VLOOKUP(A53,mondayID!A:B,2,FALSE),"")</f>
        <v>2603550505</v>
      </c>
    </row>
    <row r="54" spans="1:6" ht="15" x14ac:dyDescent="0.25">
      <c r="A54" s="1" t="s">
        <v>43</v>
      </c>
      <c r="B54" s="3" t="s">
        <v>94</v>
      </c>
      <c r="C54">
        <f>IFERROR(VLOOKUP(B54,Elastic!A:C,3,FALSE),"")</f>
        <v>36607</v>
      </c>
      <c r="D54">
        <v>2603550432</v>
      </c>
      <c r="E54" s="4" t="s">
        <v>174</v>
      </c>
      <c r="F54">
        <f>IFERROR(VLOOKUP(A54,mondayID!A:B,2,FALSE),"")</f>
        <v>3575546585</v>
      </c>
    </row>
    <row r="55" spans="1:6" ht="15" x14ac:dyDescent="0.25">
      <c r="A55" s="1" t="s">
        <v>44</v>
      </c>
      <c r="B55" s="3" t="s">
        <v>107</v>
      </c>
      <c r="C55">
        <f>IFERROR(VLOOKUP(B55,Elastic!A:C,3,FALSE),"")</f>
        <v>2825</v>
      </c>
      <c r="D55">
        <v>2603550432</v>
      </c>
      <c r="E55" s="4" t="s">
        <v>174</v>
      </c>
      <c r="F55">
        <f>IFERROR(VLOOKUP(A55,mondayID!A:B,2,FALSE),"")</f>
        <v>3572731938</v>
      </c>
    </row>
    <row r="56" spans="1:6" ht="15" x14ac:dyDescent="0.25">
      <c r="A56" s="1" t="s">
        <v>45</v>
      </c>
      <c r="B56" s="3" t="s">
        <v>116</v>
      </c>
      <c r="C56">
        <f>IFERROR(VLOOKUP(B56,Elastic!A:C,3,FALSE),"")</f>
        <v>2031</v>
      </c>
      <c r="D56">
        <v>2603550432</v>
      </c>
      <c r="E56" s="4" t="s">
        <v>174</v>
      </c>
      <c r="F56">
        <f>IFERROR(VLOOKUP(A56,mondayID!A:B,2,FALSE),"")</f>
        <v>3075606243</v>
      </c>
    </row>
    <row r="57" spans="1:6" ht="15" x14ac:dyDescent="0.25">
      <c r="A57" s="1" t="s">
        <v>46</v>
      </c>
      <c r="B57" s="3" t="s">
        <v>143</v>
      </c>
      <c r="C57">
        <f>IFERROR(VLOOKUP(B57,Elastic!A:C,3,FALSE),"")</f>
        <v>578</v>
      </c>
      <c r="D57">
        <v>2603550432</v>
      </c>
      <c r="E57" s="4" t="s">
        <v>174</v>
      </c>
      <c r="F57">
        <f>IFERROR(VLOOKUP(A57,mondayID!A:B,2,FALSE),"")</f>
        <v>3219726602</v>
      </c>
    </row>
    <row r="58" spans="1:6" ht="15" x14ac:dyDescent="0.25">
      <c r="A58" s="1" t="s">
        <v>47</v>
      </c>
      <c r="B58" s="3" t="s">
        <v>132</v>
      </c>
      <c r="C58">
        <f>IFERROR(VLOOKUP(B58,Elastic!A:C,3,FALSE),"")</f>
        <v>1104</v>
      </c>
      <c r="D58">
        <v>2603550432</v>
      </c>
      <c r="E58" s="4" t="s">
        <v>174</v>
      </c>
      <c r="F58">
        <f>IFERROR(VLOOKUP(A58,mondayID!A:B,2,FALSE),"")</f>
        <v>3624299071</v>
      </c>
    </row>
    <row r="59" spans="1:6" ht="15" x14ac:dyDescent="0.25">
      <c r="A59" s="1" t="s">
        <v>48</v>
      </c>
      <c r="B59" s="3" t="s">
        <v>134</v>
      </c>
      <c r="C59">
        <f>IFERROR(VLOOKUP(B59,Elastic!A:C,3,FALSE),"")</f>
        <v>1202</v>
      </c>
      <c r="D59">
        <v>2603550432</v>
      </c>
      <c r="E59" s="4" t="s">
        <v>174</v>
      </c>
      <c r="F59">
        <f>IFERROR(VLOOKUP(A59,mondayID!A:B,2,FALSE),"")</f>
        <v>3624298778</v>
      </c>
    </row>
    <row r="60" spans="1:6" ht="15" x14ac:dyDescent="0.25">
      <c r="A60" s="1" t="s">
        <v>49</v>
      </c>
      <c r="B60" s="3" t="s">
        <v>104</v>
      </c>
      <c r="C60">
        <f>IFERROR(VLOOKUP(B60,Elastic!A:C,3,FALSE),"")</f>
        <v>50132</v>
      </c>
      <c r="D60">
        <v>2603550432</v>
      </c>
      <c r="E60" s="4" t="s">
        <v>174</v>
      </c>
      <c r="F60">
        <f>IFERROR(VLOOKUP(A60,mondayID!A:B,2,FALSE),"")</f>
        <v>3852494757</v>
      </c>
    </row>
    <row r="61" spans="1:6" ht="15" x14ac:dyDescent="0.25">
      <c r="A61" s="1" t="s">
        <v>50</v>
      </c>
      <c r="B61" s="3" t="s">
        <v>103</v>
      </c>
      <c r="C61">
        <f>IFERROR(VLOOKUP(B61,Elastic!A:C,3,FALSE),"")</f>
        <v>6368</v>
      </c>
      <c r="D61">
        <v>2603550432</v>
      </c>
      <c r="E61" s="4" t="s">
        <v>174</v>
      </c>
      <c r="F61">
        <f>IFERROR(VLOOKUP(A61,mondayID!A:B,2,FALSE),"")</f>
        <v>3820545044</v>
      </c>
    </row>
    <row r="62" spans="1:6" ht="15" x14ac:dyDescent="0.25">
      <c r="A62" s="1" t="s">
        <v>51</v>
      </c>
      <c r="B62" s="3" t="s">
        <v>109</v>
      </c>
      <c r="C62">
        <f>IFERROR(VLOOKUP(B62,Elastic!A:C,3,FALSE),"")</f>
        <v>18582</v>
      </c>
      <c r="D62">
        <v>2603550432</v>
      </c>
      <c r="E62" s="4" t="s">
        <v>174</v>
      </c>
      <c r="F62">
        <f>IFERROR(VLOOKUP(A62,mondayID!A:B,2,FALSE),"")</f>
        <v>4047765374</v>
      </c>
    </row>
    <row r="63" spans="1:6" ht="15" x14ac:dyDescent="0.25">
      <c r="A63" s="1" t="s">
        <v>52</v>
      </c>
      <c r="B63" s="3" t="s">
        <v>120</v>
      </c>
      <c r="C63">
        <f>IFERROR(VLOOKUP(B63,Elastic!A:C,3,FALSE),"")</f>
        <v>1284</v>
      </c>
      <c r="D63">
        <v>2603550432</v>
      </c>
      <c r="E63" s="4" t="s">
        <v>174</v>
      </c>
      <c r="F63">
        <f>IFERROR(VLOOKUP(A63,mondayID!A:B,2,FALSE),"")</f>
        <v>4066478108</v>
      </c>
    </row>
    <row r="64" spans="1:6" ht="15" x14ac:dyDescent="0.25">
      <c r="A64" t="s">
        <v>186</v>
      </c>
      <c r="B64" s="3" t="s">
        <v>131</v>
      </c>
      <c r="C64">
        <f>IFERROR(VLOOKUP(B64,Elastic!A:C,3,FALSE),"")</f>
        <v>733</v>
      </c>
      <c r="D64">
        <v>2603550432</v>
      </c>
      <c r="E64" s="4" t="s">
        <v>174</v>
      </c>
      <c r="F64">
        <f>IFERROR(VLOOKUP(A64,mondayID!A:B,2,FALSE),"")</f>
        <v>5643426293</v>
      </c>
    </row>
    <row r="65" spans="1:6" ht="15" x14ac:dyDescent="0.25">
      <c r="A65" s="1" t="s">
        <v>53</v>
      </c>
      <c r="B65" s="3" t="s">
        <v>129</v>
      </c>
      <c r="C65">
        <f>IFERROR(VLOOKUP(B65,Elastic!A:C,3,FALSE),"")</f>
        <v>1923</v>
      </c>
      <c r="D65">
        <v>2603550432</v>
      </c>
      <c r="E65" s="4" t="s">
        <v>174</v>
      </c>
      <c r="F65">
        <f>IFERROR(VLOOKUP(A65,mondayID!A:B,2,FALSE),"")</f>
        <v>4215712673</v>
      </c>
    </row>
    <row r="66" spans="1:6" ht="15" x14ac:dyDescent="0.25">
      <c r="A66" s="1" t="s">
        <v>54</v>
      </c>
      <c r="B66" s="3" t="s">
        <v>145</v>
      </c>
      <c r="C66">
        <f>IFERROR(VLOOKUP(B66,Elastic!A:C,3,FALSE),"")</f>
        <v>2474</v>
      </c>
      <c r="D66">
        <v>2603550432</v>
      </c>
      <c r="E66" s="4" t="s">
        <v>174</v>
      </c>
      <c r="F66">
        <f>IFERROR(VLOOKUP(A66,mondayID!A:B,2,FALSE),"")</f>
        <v>3027881845</v>
      </c>
    </row>
    <row r="67" spans="1:6" ht="15" x14ac:dyDescent="0.25">
      <c r="A67" s="1" t="s">
        <v>55</v>
      </c>
      <c r="B67" s="3" t="s">
        <v>136</v>
      </c>
      <c r="C67">
        <f>IFERROR(VLOOKUP(B67,Elastic!A:C,3,FALSE),"")</f>
        <v>1202</v>
      </c>
      <c r="D67">
        <v>2603550432</v>
      </c>
      <c r="E67" s="4" t="s">
        <v>174</v>
      </c>
      <c r="F67">
        <f>IFERROR(VLOOKUP(A67,mondayID!A:B,2,FALSE),"")</f>
        <v>4534694402</v>
      </c>
    </row>
    <row r="68" spans="1:6" ht="15" x14ac:dyDescent="0.25">
      <c r="A68" s="1" t="s">
        <v>56</v>
      </c>
      <c r="B68" s="3" t="s">
        <v>118</v>
      </c>
      <c r="C68">
        <f>IFERROR(VLOOKUP(B68,Elastic!A:C,3,FALSE),"")</f>
        <v>13281</v>
      </c>
      <c r="D68">
        <v>2603550432</v>
      </c>
      <c r="E68" s="4" t="s">
        <v>174</v>
      </c>
      <c r="F68">
        <f>IFERROR(VLOOKUP(A68,mondayID!A:B,2,FALSE),"")</f>
        <v>4377917500</v>
      </c>
    </row>
    <row r="69" spans="1:6" ht="15" x14ac:dyDescent="0.25">
      <c r="A69" t="s">
        <v>179</v>
      </c>
      <c r="B69" s="3" t="s">
        <v>162</v>
      </c>
      <c r="C69">
        <f>IFERROR(VLOOKUP(B69,Elastic!A:C,3,FALSE),"")</f>
        <v>237</v>
      </c>
      <c r="D69">
        <v>2603550432</v>
      </c>
      <c r="E69" s="4" t="s">
        <v>174</v>
      </c>
      <c r="F69">
        <f>IFERROR(VLOOKUP(A69,mondayID!A:B,2,FALSE),"")</f>
        <v>5184151295</v>
      </c>
    </row>
    <row r="70" spans="1:6" ht="15" x14ac:dyDescent="0.25">
      <c r="A70" s="1" t="s">
        <v>210</v>
      </c>
      <c r="B70" t="s">
        <v>197</v>
      </c>
      <c r="C70">
        <f>IFERROR(VLOOKUP(B70,Elastic!A:C,3,FALSE),"")</f>
        <v>2373</v>
      </c>
      <c r="D70">
        <v>2603550432</v>
      </c>
      <c r="E70" s="4" t="s">
        <v>174</v>
      </c>
      <c r="F70">
        <v>6702486816</v>
      </c>
    </row>
    <row r="71" spans="1:6" ht="15" x14ac:dyDescent="0.25">
      <c r="A71" s="1" t="s">
        <v>57</v>
      </c>
      <c r="B71" s="3" t="s">
        <v>75</v>
      </c>
      <c r="C71">
        <f>IFERROR(VLOOKUP(B71,Elastic!A:C,3,FALSE),"")</f>
        <v>4500</v>
      </c>
      <c r="D71">
        <v>2603550432</v>
      </c>
      <c r="E71" s="4" t="s">
        <v>174</v>
      </c>
      <c r="F71">
        <f>IFERROR(VLOOKUP(A71,mondayID!A:B,2,FALSE),"")</f>
        <v>4346672198</v>
      </c>
    </row>
    <row r="72" spans="1:6" ht="15" x14ac:dyDescent="0.25">
      <c r="A72" t="s">
        <v>185</v>
      </c>
      <c r="B72" s="3" t="s">
        <v>76</v>
      </c>
      <c r="C72">
        <f>IFERROR(VLOOKUP(B72,Elastic!A:C,3,FALSE),"")</f>
        <v>381</v>
      </c>
      <c r="D72">
        <v>2603550432</v>
      </c>
      <c r="E72" s="4" t="s">
        <v>174</v>
      </c>
      <c r="F72">
        <f>IFERROR(VLOOKUP(A72,mondayID!A:B,2,FALSE),"")</f>
        <v>4215677725</v>
      </c>
    </row>
    <row r="73" spans="1:6" ht="15" x14ac:dyDescent="0.25">
      <c r="A73" s="1" t="s">
        <v>58</v>
      </c>
      <c r="B73" s="3" t="s">
        <v>77</v>
      </c>
      <c r="C73">
        <f>IFERROR(VLOOKUP(B73,Elastic!A:C,3,FALSE),"")</f>
        <v>779</v>
      </c>
      <c r="D73">
        <v>2603550432</v>
      </c>
      <c r="E73" s="4" t="s">
        <v>174</v>
      </c>
      <c r="F73">
        <f>IFERROR(VLOOKUP(A73,mondayID!A:B,2,FALSE),"")</f>
        <v>4455416988</v>
      </c>
    </row>
    <row r="74" spans="1:6" ht="15" x14ac:dyDescent="0.25">
      <c r="A74" t="s">
        <v>184</v>
      </c>
      <c r="B74" s="3" t="s">
        <v>78</v>
      </c>
      <c r="C74">
        <f>IFERROR(VLOOKUP(B74,Elastic!A:C,3,FALSE),"")</f>
        <v>126</v>
      </c>
      <c r="D74">
        <v>2603550432</v>
      </c>
      <c r="E74" s="4" t="s">
        <v>174</v>
      </c>
      <c r="F74">
        <f>IFERROR(VLOOKUP(A74,mondayID!A:B,2,FALSE),"")</f>
        <v>4923169384</v>
      </c>
    </row>
    <row r="75" spans="1:6" ht="15" x14ac:dyDescent="0.25">
      <c r="A75" s="1" t="s">
        <v>59</v>
      </c>
      <c r="B75" s="3" t="s">
        <v>79</v>
      </c>
      <c r="C75">
        <f>IFERROR(VLOOKUP(B75,Elastic!A:C,3,FALSE),"")</f>
        <v>457</v>
      </c>
      <c r="D75">
        <v>2603550432</v>
      </c>
      <c r="E75" s="4" t="s">
        <v>174</v>
      </c>
      <c r="F75">
        <f>IFERROR(VLOOKUP(A75,mondayID!A:B,2,FALSE),"")</f>
        <v>4448081625</v>
      </c>
    </row>
    <row r="76" spans="1:6" ht="15" x14ac:dyDescent="0.25">
      <c r="A76" s="1" t="s">
        <v>60</v>
      </c>
      <c r="B76" s="3" t="s">
        <v>81</v>
      </c>
      <c r="C76">
        <f>IFERROR(VLOOKUP(B76,Elastic!A:C,3,FALSE),"")</f>
        <v>3140</v>
      </c>
      <c r="D76">
        <v>2603550432</v>
      </c>
      <c r="E76" s="4" t="s">
        <v>174</v>
      </c>
      <c r="F76">
        <f>IFERROR(VLOOKUP(A76,mondayID!A:B,2,FALSE),"")</f>
        <v>5668431380</v>
      </c>
    </row>
    <row r="77" spans="1:6" ht="15" x14ac:dyDescent="0.25">
      <c r="A77" s="1" t="s">
        <v>61</v>
      </c>
      <c r="B77" s="3" t="s">
        <v>80</v>
      </c>
      <c r="C77">
        <f>IFERROR(VLOOKUP(B77,Elastic!A:C,3,FALSE),"")</f>
        <v>1722</v>
      </c>
      <c r="D77">
        <v>2603550432</v>
      </c>
      <c r="E77" s="4" t="s">
        <v>174</v>
      </c>
      <c r="F77">
        <f>IFERROR(VLOOKUP(A77,mondayID!A:B,2,FALSE),"")</f>
        <v>5050504044</v>
      </c>
    </row>
    <row r="78" spans="1:6" ht="15" x14ac:dyDescent="0.25">
      <c r="A78" t="s">
        <v>181</v>
      </c>
      <c r="B78" s="3" t="s">
        <v>201</v>
      </c>
      <c r="C78">
        <f>IFERROR(VLOOKUP(B78,Elastic!A:C,3,FALSE),"")</f>
        <v>54</v>
      </c>
      <c r="D78">
        <v>2603550432</v>
      </c>
      <c r="E78" s="4" t="s">
        <v>174</v>
      </c>
      <c r="F78">
        <f>IFERROR(VLOOKUP(A78,mondayID!A:B,2,FALSE),"")</f>
        <v>6521396900</v>
      </c>
    </row>
    <row r="79" spans="1:6" ht="15" x14ac:dyDescent="0.25">
      <c r="A79" t="s">
        <v>180</v>
      </c>
      <c r="B79" s="3" t="s">
        <v>206</v>
      </c>
      <c r="C79">
        <f>IFERROR(VLOOKUP(B79,Elastic!A:C,3,FALSE),"")</f>
        <v>74</v>
      </c>
      <c r="D79">
        <v>2603550432</v>
      </c>
      <c r="E79" s="4" t="s">
        <v>174</v>
      </c>
      <c r="F79">
        <f>IFERROR(VLOOKUP(A79,mondayID!A:B,2,FALSE),"")</f>
        <v>6521400675</v>
      </c>
    </row>
    <row r="80" spans="1:6" ht="15" x14ac:dyDescent="0.25">
      <c r="A80" s="1" t="s">
        <v>62</v>
      </c>
      <c r="B80" s="3" t="s">
        <v>82</v>
      </c>
      <c r="C80">
        <f>IFERROR(VLOOKUP(B80,Elastic!A:C,3,FALSE),"")</f>
        <v>8243</v>
      </c>
      <c r="D80">
        <v>2603550432</v>
      </c>
      <c r="E80" s="4" t="s">
        <v>174</v>
      </c>
      <c r="F80">
        <f>IFERROR(VLOOKUP(A80,mondayID!A:B,2,FALSE),"")</f>
        <v>3258246006</v>
      </c>
    </row>
    <row r="81" spans="1:6" ht="15" x14ac:dyDescent="0.25">
      <c r="A81" s="1" t="s">
        <v>63</v>
      </c>
      <c r="B81" s="3" t="s">
        <v>84</v>
      </c>
      <c r="C81">
        <f>IFERROR(VLOOKUP(B81,Elastic!A:C,3,FALSE),"")</f>
        <v>828</v>
      </c>
      <c r="D81">
        <v>2603550432</v>
      </c>
      <c r="E81" s="4" t="s">
        <v>174</v>
      </c>
      <c r="F81">
        <f>IFERROR(VLOOKUP(A81,mondayID!A:B,2,FALSE),"")</f>
        <v>5856662339</v>
      </c>
    </row>
    <row r="82" spans="1:6" ht="15" x14ac:dyDescent="0.25">
      <c r="A82" s="1" t="s">
        <v>64</v>
      </c>
      <c r="B82" s="3" t="s">
        <v>83</v>
      </c>
      <c r="C82">
        <f>IFERROR(VLOOKUP(B82,Elastic!A:C,3,FALSE),"")</f>
        <v>1191</v>
      </c>
      <c r="D82">
        <v>2603550432</v>
      </c>
      <c r="E82" s="4" t="s">
        <v>174</v>
      </c>
      <c r="F82">
        <f>IFERROR(VLOOKUP(A82,mondayID!A:B,2,FALSE),"")</f>
        <v>5166967714</v>
      </c>
    </row>
    <row r="83" spans="1:6" ht="15" x14ac:dyDescent="0.25">
      <c r="A83" s="1" t="s">
        <v>65</v>
      </c>
      <c r="B83" s="3" t="s">
        <v>85</v>
      </c>
      <c r="C83">
        <f>IFERROR(VLOOKUP(B83,Elastic!A:C,3,FALSE),"")</f>
        <v>1646</v>
      </c>
      <c r="D83">
        <v>2603550432</v>
      </c>
      <c r="E83" s="4" t="s">
        <v>174</v>
      </c>
      <c r="F83">
        <f>IFERROR(VLOOKUP(A83,mondayID!A:B,2,FALSE),"")</f>
        <v>5263995324</v>
      </c>
    </row>
    <row r="84" spans="1:6" ht="15" x14ac:dyDescent="0.25">
      <c r="A84" s="1" t="s">
        <v>66</v>
      </c>
      <c r="B84" s="3" t="s">
        <v>86</v>
      </c>
      <c r="C84">
        <f>IFERROR(VLOOKUP(B84,Elastic!A:C,3,FALSE),"")</f>
        <v>18986</v>
      </c>
      <c r="D84">
        <v>2603550432</v>
      </c>
      <c r="E84" s="4" t="s">
        <v>174</v>
      </c>
      <c r="F84">
        <f>IFERROR(VLOOKUP(A84,mondayID!A:B,2,FALSE),"")</f>
        <v>5263995875</v>
      </c>
    </row>
    <row r="85" spans="1:6" ht="15" x14ac:dyDescent="0.25">
      <c r="A85" s="1" t="s">
        <v>67</v>
      </c>
      <c r="B85" s="3" t="s">
        <v>87</v>
      </c>
      <c r="C85">
        <f>IFERROR(VLOOKUP(B85,Elastic!A:C,3,FALSE),"")</f>
        <v>114</v>
      </c>
      <c r="D85">
        <v>2603550432</v>
      </c>
      <c r="E85" s="4" t="s">
        <v>174</v>
      </c>
      <c r="F85">
        <f>IFERROR(VLOOKUP(A85,mondayID!A:B,2,FALSE),"")</f>
        <v>5423052663</v>
      </c>
    </row>
    <row r="86" spans="1:6" ht="15" x14ac:dyDescent="0.25">
      <c r="A86" s="1" t="s">
        <v>68</v>
      </c>
      <c r="B86" s="3" t="s">
        <v>88</v>
      </c>
      <c r="C86">
        <f>IFERROR(VLOOKUP(B86,Elastic!A:C,3,FALSE),"")</f>
        <v>87</v>
      </c>
      <c r="D86">
        <v>2603550432</v>
      </c>
      <c r="E86" s="4" t="s">
        <v>174</v>
      </c>
      <c r="F86">
        <f>IFERROR(VLOOKUP(A86,mondayID!A:B,2,FALSE),"")</f>
        <v>5075519429</v>
      </c>
    </row>
    <row r="87" spans="1:6" ht="15" x14ac:dyDescent="0.25">
      <c r="A87" t="s">
        <v>182</v>
      </c>
      <c r="B87" s="3" t="s">
        <v>196</v>
      </c>
      <c r="C87">
        <f>IFERROR(VLOOKUP(B87,Elastic!A:C,3,FALSE),"")</f>
        <v>226</v>
      </c>
      <c r="D87">
        <v>2603550432</v>
      </c>
      <c r="E87" s="4" t="s">
        <v>174</v>
      </c>
      <c r="F87">
        <f>IFERROR(VLOOKUP(A87,mondayID!A:B,2,FALSE),"")</f>
        <v>4956974417</v>
      </c>
    </row>
    <row r="88" spans="1:6" ht="15" x14ac:dyDescent="0.25">
      <c r="A88" s="1" t="s">
        <v>1</v>
      </c>
      <c r="B88" s="3" t="s">
        <v>89</v>
      </c>
      <c r="C88">
        <f>IFERROR(VLOOKUP(B88,Elastic!A:C,3,FALSE),"")</f>
        <v>1704</v>
      </c>
      <c r="D88">
        <v>2603550432</v>
      </c>
      <c r="E88" s="4" t="s">
        <v>174</v>
      </c>
      <c r="F88">
        <f>IFERROR(VLOOKUP(A88,mondayID!A:B,2,FALSE),"")</f>
        <v>5318679677</v>
      </c>
    </row>
    <row r="89" spans="1:6" ht="15" x14ac:dyDescent="0.25">
      <c r="A89" s="1" t="s">
        <v>69</v>
      </c>
      <c r="B89" s="3" t="s">
        <v>90</v>
      </c>
      <c r="C89">
        <f>IFERROR(VLOOKUP(B89,Elastic!A:C,3,FALSE),"")</f>
        <v>5378</v>
      </c>
      <c r="D89">
        <v>2603550432</v>
      </c>
      <c r="E89" s="4" t="s">
        <v>174</v>
      </c>
      <c r="F89">
        <f>IFERROR(VLOOKUP(A89,mondayID!A:B,2,FALSE),"")</f>
        <v>5554586829</v>
      </c>
    </row>
    <row r="90" spans="1:6" ht="15" x14ac:dyDescent="0.25">
      <c r="A90" s="1" t="s">
        <v>70</v>
      </c>
      <c r="B90" s="3" t="s">
        <v>91</v>
      </c>
      <c r="C90">
        <f>IFERROR(VLOOKUP(B90,Elastic!A:C,3,FALSE),"")</f>
        <v>4917</v>
      </c>
      <c r="D90">
        <v>2603550432</v>
      </c>
      <c r="E90" s="4" t="s">
        <v>174</v>
      </c>
      <c r="F90">
        <f>IFERROR(VLOOKUP(A90,mondayID!A:B,2,FALSE),"")</f>
        <v>5573863841</v>
      </c>
    </row>
    <row r="91" spans="1:6" ht="15" x14ac:dyDescent="0.25">
      <c r="A91" t="s">
        <v>211</v>
      </c>
      <c r="B91" s="3" t="s">
        <v>192</v>
      </c>
      <c r="C91">
        <f>IFERROR(VLOOKUP(B91,Elastic!A:C,3,FALSE),"")</f>
        <v>375</v>
      </c>
      <c r="D91">
        <v>2603550432</v>
      </c>
      <c r="E91" s="4" t="s">
        <v>174</v>
      </c>
      <c r="F91">
        <v>5067952621</v>
      </c>
    </row>
    <row r="92" spans="1:6" ht="15" x14ac:dyDescent="0.25">
      <c r="A92" s="1" t="s">
        <v>71</v>
      </c>
      <c r="B92" s="3" t="s">
        <v>92</v>
      </c>
      <c r="C92">
        <f>IFERROR(VLOOKUP(B92,Elastic!A:C,3,FALSE),"")</f>
        <v>1307</v>
      </c>
      <c r="D92">
        <v>2603550432</v>
      </c>
      <c r="E92" s="4" t="s">
        <v>174</v>
      </c>
      <c r="F92">
        <f>IFERROR(VLOOKUP(A92,mondayID!A:B,2,FALSE),"")</f>
        <v>5396839944</v>
      </c>
    </row>
    <row r="93" spans="1:6" ht="15" x14ac:dyDescent="0.25">
      <c r="A93" t="s">
        <v>177</v>
      </c>
      <c r="B93" s="3" t="s">
        <v>204</v>
      </c>
      <c r="C93">
        <f>IFERROR(VLOOKUP(B93,Elastic!A:C,3,FALSE),"")</f>
        <v>84</v>
      </c>
      <c r="D93">
        <v>2603550432</v>
      </c>
      <c r="E93" s="4" t="s">
        <v>174</v>
      </c>
      <c r="F93">
        <f>IFERROR(VLOOKUP(A93,mondayID!A:B,2,FALSE),"")</f>
        <v>5966868008</v>
      </c>
    </row>
    <row r="94" spans="1:6" ht="15" x14ac:dyDescent="0.25">
      <c r="A94" t="s">
        <v>219</v>
      </c>
      <c r="B94" s="3" t="s">
        <v>223</v>
      </c>
      <c r="C94">
        <f>IFERROR(VLOOKUP(B94,Elastic!A:C,3,FALSE),"")</f>
        <v>7</v>
      </c>
      <c r="D94">
        <v>2603550432</v>
      </c>
      <c r="E94" s="4" t="s">
        <v>174</v>
      </c>
      <c r="F94">
        <v>6719025722</v>
      </c>
    </row>
    <row r="95" spans="1:6" ht="15" x14ac:dyDescent="0.25">
      <c r="A95" t="s">
        <v>212</v>
      </c>
      <c r="B95" s="3" t="s">
        <v>203</v>
      </c>
      <c r="C95">
        <f>IFERROR(VLOOKUP(B95,Elastic!A:C,3,FALSE),"")</f>
        <v>48</v>
      </c>
      <c r="D95">
        <v>2603550432</v>
      </c>
      <c r="E95" s="4" t="s">
        <v>174</v>
      </c>
      <c r="F95">
        <v>6017491603</v>
      </c>
    </row>
  </sheetData>
  <autoFilter ref="A1:F1" xr:uid="{4EF8EA13-2691-4052-B2ED-983CF4AB73D6}">
    <sortState xmlns:xlrd2="http://schemas.microsoft.com/office/spreadsheetml/2017/richdata2" ref="A2:F95">
      <sortCondition ref="A1"/>
    </sortState>
  </autoFilter>
  <sortState xmlns:xlrd2="http://schemas.microsoft.com/office/spreadsheetml/2017/richdata2" ref="A2:F90">
    <sortCondition ref="A1:A90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VS">
                <anchor moveWithCells="1" sizeWithCells="1">
                  <from>
                    <xdr:col>7</xdr:col>
                    <xdr:colOff>457200</xdr:colOff>
                    <xdr:row>2</xdr:row>
                    <xdr:rowOff>0</xdr:rowOff>
                  </from>
                  <to>
                    <xdr:col>10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4F16-B0DA-4CDF-B523-06A30921A102}">
  <sheetPr codeName="Ark2"/>
  <dimension ref="A1:B84"/>
  <sheetViews>
    <sheetView workbookViewId="0">
      <selection activeCell="C1" sqref="C1:C1048576"/>
    </sheetView>
  </sheetViews>
  <sheetFormatPr defaultRowHeight="14.25" x14ac:dyDescent="0.2"/>
  <cols>
    <col min="1" max="1" width="94.375" bestFit="1" customWidth="1"/>
    <col min="2" max="2" width="38.875" bestFit="1" customWidth="1"/>
    <col min="3" max="3" width="13.875" bestFit="1" customWidth="1"/>
  </cols>
  <sheetData>
    <row r="1" spans="1:2" x14ac:dyDescent="0.2">
      <c r="A1" t="s">
        <v>4</v>
      </c>
      <c r="B1">
        <v>2603550462</v>
      </c>
    </row>
    <row r="2" spans="1:2" x14ac:dyDescent="0.2">
      <c r="A2" t="s">
        <v>42</v>
      </c>
      <c r="B2">
        <v>2603550505</v>
      </c>
    </row>
    <row r="3" spans="1:2" x14ac:dyDescent="0.2">
      <c r="A3" t="s">
        <v>9</v>
      </c>
      <c r="B3">
        <v>2603550535</v>
      </c>
    </row>
    <row r="4" spans="1:2" x14ac:dyDescent="0.2">
      <c r="A4" t="s">
        <v>5</v>
      </c>
      <c r="B4">
        <v>2603550546</v>
      </c>
    </row>
    <row r="5" spans="1:2" x14ac:dyDescent="0.2">
      <c r="A5" t="s">
        <v>22</v>
      </c>
      <c r="B5">
        <v>2603550572</v>
      </c>
    </row>
    <row r="6" spans="1:2" x14ac:dyDescent="0.2">
      <c r="A6" t="s">
        <v>10</v>
      </c>
      <c r="B6">
        <v>2603550599</v>
      </c>
    </row>
    <row r="7" spans="1:2" x14ac:dyDescent="0.2">
      <c r="A7" t="s">
        <v>11</v>
      </c>
      <c r="B7">
        <v>2603550623</v>
      </c>
    </row>
    <row r="8" spans="1:2" x14ac:dyDescent="0.2">
      <c r="A8" t="s">
        <v>12</v>
      </c>
      <c r="B8">
        <v>2603550648</v>
      </c>
    </row>
    <row r="9" spans="1:2" x14ac:dyDescent="0.2">
      <c r="A9" t="s">
        <v>14</v>
      </c>
      <c r="B9">
        <v>2603550671</v>
      </c>
    </row>
    <row r="10" spans="1:2" x14ac:dyDescent="0.2">
      <c r="A10" t="s">
        <v>16</v>
      </c>
      <c r="B10">
        <v>2603550696</v>
      </c>
    </row>
    <row r="11" spans="1:2" x14ac:dyDescent="0.2">
      <c r="A11" t="s">
        <v>17</v>
      </c>
      <c r="B11">
        <v>2603550709</v>
      </c>
    </row>
    <row r="12" spans="1:2" x14ac:dyDescent="0.2">
      <c r="A12" t="s">
        <v>18</v>
      </c>
      <c r="B12">
        <v>2603550723</v>
      </c>
    </row>
    <row r="13" spans="1:2" x14ac:dyDescent="0.2">
      <c r="A13" t="s">
        <v>20</v>
      </c>
      <c r="B13">
        <v>2603550752</v>
      </c>
    </row>
    <row r="14" spans="1:2" x14ac:dyDescent="0.2">
      <c r="A14" t="s">
        <v>2</v>
      </c>
      <c r="B14">
        <v>2658586813</v>
      </c>
    </row>
    <row r="15" spans="1:2" x14ac:dyDescent="0.2">
      <c r="A15" t="s">
        <v>23</v>
      </c>
      <c r="B15">
        <v>2675190522</v>
      </c>
    </row>
    <row r="16" spans="1:2" x14ac:dyDescent="0.2">
      <c r="A16" t="s">
        <v>38</v>
      </c>
      <c r="B16">
        <v>2774363624</v>
      </c>
    </row>
    <row r="17" spans="1:2" x14ac:dyDescent="0.2">
      <c r="A17" t="s">
        <v>31</v>
      </c>
      <c r="B17">
        <v>2859786881</v>
      </c>
    </row>
    <row r="18" spans="1:2" x14ac:dyDescent="0.2">
      <c r="A18" t="s">
        <v>54</v>
      </c>
      <c r="B18">
        <v>3027881845</v>
      </c>
    </row>
    <row r="19" spans="1:2" x14ac:dyDescent="0.2">
      <c r="A19" t="s">
        <v>45</v>
      </c>
      <c r="B19">
        <v>3075606243</v>
      </c>
    </row>
    <row r="20" spans="1:2" x14ac:dyDescent="0.2">
      <c r="A20" t="s">
        <v>37</v>
      </c>
      <c r="B20">
        <v>3159793251</v>
      </c>
    </row>
    <row r="21" spans="1:2" x14ac:dyDescent="0.2">
      <c r="A21" t="s">
        <v>3</v>
      </c>
      <c r="B21">
        <v>3166992326</v>
      </c>
    </row>
    <row r="22" spans="1:2" x14ac:dyDescent="0.2">
      <c r="A22" t="s">
        <v>32</v>
      </c>
      <c r="B22">
        <v>3174422236</v>
      </c>
    </row>
    <row r="23" spans="1:2" x14ac:dyDescent="0.2">
      <c r="A23" t="s">
        <v>46</v>
      </c>
      <c r="B23">
        <v>3219726602</v>
      </c>
    </row>
    <row r="24" spans="1:2" x14ac:dyDescent="0.2">
      <c r="A24" t="s">
        <v>62</v>
      </c>
      <c r="B24">
        <v>3258246006</v>
      </c>
    </row>
    <row r="25" spans="1:2" x14ac:dyDescent="0.2">
      <c r="A25" t="s">
        <v>39</v>
      </c>
      <c r="B25">
        <v>3258954290</v>
      </c>
    </row>
    <row r="26" spans="1:2" x14ac:dyDescent="0.2">
      <c r="A26" t="s">
        <v>44</v>
      </c>
      <c r="B26">
        <v>3572731938</v>
      </c>
    </row>
    <row r="27" spans="1:2" x14ac:dyDescent="0.2">
      <c r="A27" t="s">
        <v>43</v>
      </c>
      <c r="B27">
        <v>3575546585</v>
      </c>
    </row>
    <row r="28" spans="1:2" x14ac:dyDescent="0.2">
      <c r="A28" t="s">
        <v>48</v>
      </c>
      <c r="B28">
        <v>3624298778</v>
      </c>
    </row>
    <row r="29" spans="1:2" x14ac:dyDescent="0.2">
      <c r="A29" t="s">
        <v>47</v>
      </c>
      <c r="B29">
        <v>3624299071</v>
      </c>
    </row>
    <row r="30" spans="1:2" x14ac:dyDescent="0.2">
      <c r="A30" t="s">
        <v>50</v>
      </c>
      <c r="B30">
        <v>3820545044</v>
      </c>
    </row>
    <row r="31" spans="1:2" x14ac:dyDescent="0.2">
      <c r="A31" t="s">
        <v>36</v>
      </c>
      <c r="B31">
        <v>3821494900</v>
      </c>
    </row>
    <row r="32" spans="1:2" x14ac:dyDescent="0.2">
      <c r="A32" t="s">
        <v>49</v>
      </c>
      <c r="B32">
        <v>3852494757</v>
      </c>
    </row>
    <row r="33" spans="1:2" x14ac:dyDescent="0.2">
      <c r="A33" t="s">
        <v>51</v>
      </c>
      <c r="B33">
        <v>4047765374</v>
      </c>
    </row>
    <row r="34" spans="1:2" x14ac:dyDescent="0.2">
      <c r="A34" t="s">
        <v>52</v>
      </c>
      <c r="B34">
        <v>4066478108</v>
      </c>
    </row>
    <row r="35" spans="1:2" x14ac:dyDescent="0.2">
      <c r="A35" t="s">
        <v>21</v>
      </c>
      <c r="B35">
        <v>4207349701</v>
      </c>
    </row>
    <row r="36" spans="1:2" x14ac:dyDescent="0.2">
      <c r="A36" t="s">
        <v>185</v>
      </c>
      <c r="B36">
        <v>4215677725</v>
      </c>
    </row>
    <row r="37" spans="1:2" x14ac:dyDescent="0.2">
      <c r="A37" t="s">
        <v>53</v>
      </c>
      <c r="B37">
        <v>4215712673</v>
      </c>
    </row>
    <row r="38" spans="1:2" x14ac:dyDescent="0.2">
      <c r="A38" t="s">
        <v>186</v>
      </c>
      <c r="B38">
        <v>5643426293</v>
      </c>
    </row>
    <row r="39" spans="1:2" x14ac:dyDescent="0.2">
      <c r="A39" t="s">
        <v>55</v>
      </c>
      <c r="B39">
        <v>4534694402</v>
      </c>
    </row>
    <row r="40" spans="1:2" x14ac:dyDescent="0.2">
      <c r="A40" t="s">
        <v>56</v>
      </c>
      <c r="B40">
        <v>4377917500</v>
      </c>
    </row>
    <row r="41" spans="1:2" x14ac:dyDescent="0.2">
      <c r="A41" t="s">
        <v>58</v>
      </c>
      <c r="B41">
        <v>4455416988</v>
      </c>
    </row>
    <row r="42" spans="1:2" x14ac:dyDescent="0.2">
      <c r="A42" t="s">
        <v>59</v>
      </c>
      <c r="B42">
        <v>4448081625</v>
      </c>
    </row>
    <row r="43" spans="1:2" x14ac:dyDescent="0.2">
      <c r="A43" t="s">
        <v>61</v>
      </c>
      <c r="B43">
        <v>5050504044</v>
      </c>
    </row>
    <row r="44" spans="1:2" x14ac:dyDescent="0.2">
      <c r="A44" t="s">
        <v>64</v>
      </c>
      <c r="B44">
        <v>5166967714</v>
      </c>
    </row>
    <row r="45" spans="1:2" x14ac:dyDescent="0.2">
      <c r="A45" t="s">
        <v>65</v>
      </c>
      <c r="B45">
        <v>5263995324</v>
      </c>
    </row>
    <row r="46" spans="1:2" x14ac:dyDescent="0.2">
      <c r="A46" t="s">
        <v>66</v>
      </c>
      <c r="B46">
        <v>5263995875</v>
      </c>
    </row>
    <row r="47" spans="1:2" x14ac:dyDescent="0.2">
      <c r="A47" t="s">
        <v>67</v>
      </c>
      <c r="B47">
        <v>5423052663</v>
      </c>
    </row>
    <row r="48" spans="1:2" x14ac:dyDescent="0.2">
      <c r="A48" t="s">
        <v>68</v>
      </c>
      <c r="B48">
        <v>5075519429</v>
      </c>
    </row>
    <row r="49" spans="1:2" x14ac:dyDescent="0.2">
      <c r="A49" t="s">
        <v>1</v>
      </c>
      <c r="B49">
        <v>5318679677</v>
      </c>
    </row>
    <row r="50" spans="1:2" x14ac:dyDescent="0.2">
      <c r="A50" t="s">
        <v>69</v>
      </c>
      <c r="B50">
        <v>5554586829</v>
      </c>
    </row>
    <row r="51" spans="1:2" x14ac:dyDescent="0.2">
      <c r="A51" t="s">
        <v>70</v>
      </c>
      <c r="B51">
        <v>5573863841</v>
      </c>
    </row>
    <row r="52" spans="1:2" x14ac:dyDescent="0.2">
      <c r="A52" t="s">
        <v>71</v>
      </c>
      <c r="B52">
        <v>5396839944</v>
      </c>
    </row>
    <row r="53" spans="1:2" x14ac:dyDescent="0.2">
      <c r="A53" t="s">
        <v>177</v>
      </c>
      <c r="B53">
        <v>5966868008</v>
      </c>
    </row>
    <row r="54" spans="1:2" x14ac:dyDescent="0.2">
      <c r="A54" t="s">
        <v>57</v>
      </c>
      <c r="B54">
        <v>4346672198</v>
      </c>
    </row>
    <row r="55" spans="1:2" x14ac:dyDescent="0.2">
      <c r="A55" t="s">
        <v>19</v>
      </c>
      <c r="B55">
        <v>3602648893</v>
      </c>
    </row>
    <row r="56" spans="1:2" x14ac:dyDescent="0.2">
      <c r="A56" t="s">
        <v>6</v>
      </c>
      <c r="B56">
        <v>4014063269</v>
      </c>
    </row>
    <row r="57" spans="1:2" x14ac:dyDescent="0.2">
      <c r="A57" t="s">
        <v>8</v>
      </c>
      <c r="B57">
        <v>4014087183</v>
      </c>
    </row>
    <row r="58" spans="1:2" x14ac:dyDescent="0.2">
      <c r="A58" t="s">
        <v>7</v>
      </c>
      <c r="B58">
        <v>4014173475</v>
      </c>
    </row>
    <row r="59" spans="1:2" x14ac:dyDescent="0.2">
      <c r="A59" t="s">
        <v>13</v>
      </c>
      <c r="B59">
        <v>5768465109</v>
      </c>
    </row>
    <row r="60" spans="1:2" x14ac:dyDescent="0.2">
      <c r="A60" t="s">
        <v>15</v>
      </c>
      <c r="B60">
        <v>5415073627</v>
      </c>
    </row>
    <row r="61" spans="1:2" x14ac:dyDescent="0.2">
      <c r="A61" t="s">
        <v>24</v>
      </c>
      <c r="B61">
        <v>4900089456</v>
      </c>
    </row>
    <row r="62" spans="1:2" x14ac:dyDescent="0.2">
      <c r="A62" t="s">
        <v>25</v>
      </c>
      <c r="B62">
        <v>4709903493</v>
      </c>
    </row>
    <row r="63" spans="1:2" x14ac:dyDescent="0.2">
      <c r="A63" t="s">
        <v>172</v>
      </c>
      <c r="B63">
        <v>5996865343</v>
      </c>
    </row>
    <row r="64" spans="1:2" x14ac:dyDescent="0.2">
      <c r="A64" t="s">
        <v>26</v>
      </c>
      <c r="B64">
        <v>5184199765</v>
      </c>
    </row>
    <row r="65" spans="1:2" x14ac:dyDescent="0.2">
      <c r="A65" t="s">
        <v>27</v>
      </c>
      <c r="B65">
        <v>5184202448</v>
      </c>
    </row>
    <row r="66" spans="1:2" x14ac:dyDescent="0.2">
      <c r="A66" t="s">
        <v>187</v>
      </c>
      <c r="B66">
        <v>5099416154</v>
      </c>
    </row>
    <row r="67" spans="1:2" x14ac:dyDescent="0.2">
      <c r="A67" t="s">
        <v>28</v>
      </c>
      <c r="B67">
        <v>5333208996</v>
      </c>
    </row>
    <row r="68" spans="1:2" x14ac:dyDescent="0.2">
      <c r="A68" t="s">
        <v>29</v>
      </c>
      <c r="B68">
        <v>5333206337</v>
      </c>
    </row>
    <row r="69" spans="1:2" x14ac:dyDescent="0.2">
      <c r="A69" t="s">
        <v>30</v>
      </c>
      <c r="B69">
        <v>5184192074</v>
      </c>
    </row>
    <row r="70" spans="1:2" x14ac:dyDescent="0.2">
      <c r="A70" t="s">
        <v>188</v>
      </c>
      <c r="B70">
        <v>5514356600</v>
      </c>
    </row>
    <row r="71" spans="1:2" x14ac:dyDescent="0.2">
      <c r="A71" t="s">
        <v>33</v>
      </c>
      <c r="B71">
        <v>5483132567</v>
      </c>
    </row>
    <row r="72" spans="1:2" x14ac:dyDescent="0.2">
      <c r="A72" t="s">
        <v>178</v>
      </c>
      <c r="B72">
        <v>5996866893</v>
      </c>
    </row>
    <row r="73" spans="1:2" x14ac:dyDescent="0.2">
      <c r="A73" t="s">
        <v>34</v>
      </c>
      <c r="B73">
        <v>5873700517</v>
      </c>
    </row>
    <row r="74" spans="1:2" x14ac:dyDescent="0.2">
      <c r="A74" t="s">
        <v>35</v>
      </c>
      <c r="B74">
        <v>5547241627</v>
      </c>
    </row>
    <row r="75" spans="1:2" x14ac:dyDescent="0.2">
      <c r="A75" t="s">
        <v>40</v>
      </c>
      <c r="B75">
        <v>5415095420</v>
      </c>
    </row>
    <row r="76" spans="1:2" x14ac:dyDescent="0.2">
      <c r="A76" t="s">
        <v>41</v>
      </c>
      <c r="B76">
        <v>5059576411</v>
      </c>
    </row>
    <row r="77" spans="1:2" x14ac:dyDescent="0.2">
      <c r="A77" t="s">
        <v>179</v>
      </c>
      <c r="B77">
        <v>5184151295</v>
      </c>
    </row>
    <row r="78" spans="1:2" x14ac:dyDescent="0.2">
      <c r="A78" t="s">
        <v>60</v>
      </c>
      <c r="B78">
        <v>5668431380</v>
      </c>
    </row>
    <row r="79" spans="1:2" x14ac:dyDescent="0.2">
      <c r="A79" t="s">
        <v>180</v>
      </c>
      <c r="B79">
        <v>6521400675</v>
      </c>
    </row>
    <row r="80" spans="1:2" x14ac:dyDescent="0.2">
      <c r="A80" t="s">
        <v>181</v>
      </c>
      <c r="B80">
        <v>6521396900</v>
      </c>
    </row>
    <row r="81" spans="1:2" x14ac:dyDescent="0.2">
      <c r="A81" t="s">
        <v>63</v>
      </c>
      <c r="B81">
        <v>5856662339</v>
      </c>
    </row>
    <row r="82" spans="1:2" x14ac:dyDescent="0.2">
      <c r="A82" t="s">
        <v>182</v>
      </c>
      <c r="B82">
        <v>4956974417</v>
      </c>
    </row>
    <row r="83" spans="1:2" x14ac:dyDescent="0.2">
      <c r="A83" t="s">
        <v>183</v>
      </c>
      <c r="B83">
        <v>6106900673</v>
      </c>
    </row>
    <row r="84" spans="1:2" x14ac:dyDescent="0.2">
      <c r="A84" t="s">
        <v>184</v>
      </c>
      <c r="B84">
        <v>4923169384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08756-368E-4F45-97A5-D36090DEEB45}">
  <sheetPr codeName="Ark3"/>
  <dimension ref="A1:C118"/>
  <sheetViews>
    <sheetView tabSelected="1" workbookViewId="0">
      <selection sqref="A1:A1048576"/>
    </sheetView>
  </sheetViews>
  <sheetFormatPr defaultRowHeight="14.25" x14ac:dyDescent="0.2"/>
  <cols>
    <col min="2" max="2" width="36" bestFit="1" customWidth="1"/>
    <col min="3" max="3" width="14.625" bestFit="1" customWidth="1"/>
  </cols>
  <sheetData>
    <row r="1" spans="1:3" x14ac:dyDescent="0.2">
      <c r="A1" t="s">
        <v>73</v>
      </c>
      <c r="B1" t="s">
        <v>93</v>
      </c>
      <c r="C1" t="s">
        <v>74</v>
      </c>
    </row>
    <row r="2" spans="1:3" x14ac:dyDescent="0.2">
      <c r="A2" t="s">
        <v>94</v>
      </c>
      <c r="B2" t="s">
        <v>95</v>
      </c>
      <c r="C2">
        <v>36607</v>
      </c>
    </row>
    <row r="3" spans="1:3" x14ac:dyDescent="0.2">
      <c r="A3" t="s">
        <v>96</v>
      </c>
      <c r="B3" t="s">
        <v>95</v>
      </c>
      <c r="C3">
        <v>36932</v>
      </c>
    </row>
    <row r="4" spans="1:3" x14ac:dyDescent="0.2">
      <c r="A4" t="s">
        <v>97</v>
      </c>
      <c r="B4" t="s">
        <v>95</v>
      </c>
      <c r="C4">
        <v>342704</v>
      </c>
    </row>
    <row r="5" spans="1:3" x14ac:dyDescent="0.2">
      <c r="A5" t="s">
        <v>98</v>
      </c>
      <c r="B5" t="s">
        <v>95</v>
      </c>
      <c r="C5">
        <v>38297</v>
      </c>
    </row>
    <row r="6" spans="1:3" x14ac:dyDescent="0.2">
      <c r="A6" t="s">
        <v>99</v>
      </c>
      <c r="B6" t="s">
        <v>95</v>
      </c>
      <c r="C6">
        <v>8099</v>
      </c>
    </row>
    <row r="7" spans="1:3" x14ac:dyDescent="0.2">
      <c r="A7" t="s">
        <v>101</v>
      </c>
      <c r="B7" t="s">
        <v>95</v>
      </c>
      <c r="C7">
        <v>12830</v>
      </c>
    </row>
    <row r="8" spans="1:3" x14ac:dyDescent="0.2">
      <c r="A8" t="s">
        <v>103</v>
      </c>
      <c r="B8" t="s">
        <v>95</v>
      </c>
      <c r="C8">
        <v>6368</v>
      </c>
    </row>
    <row r="9" spans="1:3" x14ac:dyDescent="0.2">
      <c r="A9" t="s">
        <v>102</v>
      </c>
      <c r="B9" t="s">
        <v>95</v>
      </c>
      <c r="C9">
        <v>50596</v>
      </c>
    </row>
    <row r="10" spans="1:3" x14ac:dyDescent="0.2">
      <c r="A10" t="s">
        <v>109</v>
      </c>
      <c r="B10" t="s">
        <v>95</v>
      </c>
      <c r="C10">
        <v>18582</v>
      </c>
    </row>
    <row r="11" spans="1:3" x14ac:dyDescent="0.2">
      <c r="A11" t="s">
        <v>100</v>
      </c>
      <c r="B11" t="s">
        <v>95</v>
      </c>
      <c r="C11">
        <v>11367</v>
      </c>
    </row>
    <row r="12" spans="1:3" x14ac:dyDescent="0.2">
      <c r="A12" t="s">
        <v>104</v>
      </c>
      <c r="B12" t="s">
        <v>95</v>
      </c>
      <c r="C12">
        <v>50132</v>
      </c>
    </row>
    <row r="13" spans="1:3" x14ac:dyDescent="0.2">
      <c r="A13" t="s">
        <v>110</v>
      </c>
      <c r="B13" t="s">
        <v>95</v>
      </c>
      <c r="C13">
        <v>10211</v>
      </c>
    </row>
    <row r="14" spans="1:3" x14ac:dyDescent="0.2">
      <c r="A14" t="s">
        <v>105</v>
      </c>
      <c r="B14" t="s">
        <v>95</v>
      </c>
      <c r="C14">
        <v>52951</v>
      </c>
    </row>
    <row r="15" spans="1:3" x14ac:dyDescent="0.2">
      <c r="A15" t="s">
        <v>106</v>
      </c>
      <c r="B15" t="s">
        <v>95</v>
      </c>
      <c r="C15">
        <v>15008</v>
      </c>
    </row>
    <row r="16" spans="1:3" x14ac:dyDescent="0.2">
      <c r="A16" t="s">
        <v>108</v>
      </c>
      <c r="B16" t="s">
        <v>95</v>
      </c>
      <c r="C16">
        <v>45354</v>
      </c>
    </row>
    <row r="17" spans="1:3" x14ac:dyDescent="0.2">
      <c r="A17" t="s">
        <v>107</v>
      </c>
      <c r="B17" t="s">
        <v>95</v>
      </c>
      <c r="C17">
        <v>2825</v>
      </c>
    </row>
    <row r="18" spans="1:3" x14ac:dyDescent="0.2">
      <c r="A18" t="s">
        <v>90</v>
      </c>
      <c r="B18" t="s">
        <v>95</v>
      </c>
      <c r="C18">
        <v>5378</v>
      </c>
    </row>
    <row r="19" spans="1:3" x14ac:dyDescent="0.2">
      <c r="A19" t="s">
        <v>113</v>
      </c>
      <c r="B19" t="s">
        <v>95</v>
      </c>
      <c r="C19">
        <v>5365</v>
      </c>
    </row>
    <row r="20" spans="1:3" x14ac:dyDescent="0.2">
      <c r="A20" t="s">
        <v>119</v>
      </c>
      <c r="B20" t="s">
        <v>95</v>
      </c>
      <c r="C20">
        <v>4500</v>
      </c>
    </row>
    <row r="21" spans="1:3" x14ac:dyDescent="0.2">
      <c r="A21" t="s">
        <v>91</v>
      </c>
      <c r="B21" t="s">
        <v>95</v>
      </c>
      <c r="C21">
        <v>4917</v>
      </c>
    </row>
    <row r="22" spans="1:3" x14ac:dyDescent="0.2">
      <c r="A22" t="s">
        <v>111</v>
      </c>
      <c r="B22" t="s">
        <v>95</v>
      </c>
      <c r="C22">
        <v>4349</v>
      </c>
    </row>
    <row r="23" spans="1:3" x14ac:dyDescent="0.2">
      <c r="A23" t="s">
        <v>118</v>
      </c>
      <c r="B23" t="s">
        <v>95</v>
      </c>
      <c r="C23">
        <v>13281</v>
      </c>
    </row>
    <row r="24" spans="1:3" x14ac:dyDescent="0.2">
      <c r="A24" t="s">
        <v>115</v>
      </c>
      <c r="B24" t="s">
        <v>95</v>
      </c>
      <c r="C24">
        <v>2800</v>
      </c>
    </row>
    <row r="25" spans="1:3" x14ac:dyDescent="0.2">
      <c r="A25" t="s">
        <v>116</v>
      </c>
      <c r="B25" t="s">
        <v>95</v>
      </c>
      <c r="C25">
        <v>2031</v>
      </c>
    </row>
    <row r="26" spans="1:3" x14ac:dyDescent="0.2">
      <c r="A26" t="s">
        <v>160</v>
      </c>
      <c r="B26" t="s">
        <v>95</v>
      </c>
      <c r="C26">
        <v>37283</v>
      </c>
    </row>
    <row r="27" spans="1:3" x14ac:dyDescent="0.2">
      <c r="A27" t="s">
        <v>112</v>
      </c>
      <c r="B27" t="s">
        <v>95</v>
      </c>
      <c r="C27">
        <v>2747</v>
      </c>
    </row>
    <row r="28" spans="1:3" x14ac:dyDescent="0.2">
      <c r="A28" t="s">
        <v>114</v>
      </c>
      <c r="B28" t="s">
        <v>95</v>
      </c>
      <c r="C28">
        <v>2365</v>
      </c>
    </row>
    <row r="29" spans="1:3" x14ac:dyDescent="0.2">
      <c r="A29" t="s">
        <v>117</v>
      </c>
      <c r="B29" t="s">
        <v>95</v>
      </c>
      <c r="C29">
        <v>1509</v>
      </c>
    </row>
    <row r="30" spans="1:3" x14ac:dyDescent="0.2">
      <c r="A30" t="s">
        <v>125</v>
      </c>
      <c r="B30" t="s">
        <v>95</v>
      </c>
      <c r="C30">
        <v>2840</v>
      </c>
    </row>
    <row r="31" spans="1:3" x14ac:dyDescent="0.2">
      <c r="A31" t="s">
        <v>126</v>
      </c>
      <c r="B31" t="s">
        <v>95</v>
      </c>
      <c r="C31">
        <v>2577</v>
      </c>
    </row>
    <row r="32" spans="1:3" x14ac:dyDescent="0.2">
      <c r="A32" t="s">
        <v>81</v>
      </c>
      <c r="B32" t="s">
        <v>95</v>
      </c>
      <c r="C32">
        <v>3140</v>
      </c>
    </row>
    <row r="33" spans="1:3" x14ac:dyDescent="0.2">
      <c r="A33" t="s">
        <v>82</v>
      </c>
      <c r="B33" t="s">
        <v>95</v>
      </c>
      <c r="C33">
        <v>8243</v>
      </c>
    </row>
    <row r="34" spans="1:3" x14ac:dyDescent="0.2">
      <c r="A34" t="s">
        <v>128</v>
      </c>
      <c r="B34" t="s">
        <v>95</v>
      </c>
      <c r="C34">
        <v>960</v>
      </c>
    </row>
    <row r="35" spans="1:3" x14ac:dyDescent="0.2">
      <c r="A35" t="s">
        <v>120</v>
      </c>
      <c r="B35" t="s">
        <v>95</v>
      </c>
      <c r="C35">
        <v>1284</v>
      </c>
    </row>
    <row r="36" spans="1:3" x14ac:dyDescent="0.2">
      <c r="A36" t="s">
        <v>189</v>
      </c>
      <c r="B36" t="s">
        <v>95</v>
      </c>
      <c r="C36">
        <v>1487</v>
      </c>
    </row>
    <row r="37" spans="1:3" x14ac:dyDescent="0.2">
      <c r="A37" t="s">
        <v>122</v>
      </c>
      <c r="B37" t="s">
        <v>95</v>
      </c>
      <c r="C37">
        <v>2222</v>
      </c>
    </row>
    <row r="38" spans="1:3" x14ac:dyDescent="0.2">
      <c r="A38" t="s">
        <v>121</v>
      </c>
      <c r="B38" t="s">
        <v>95</v>
      </c>
      <c r="C38">
        <v>5390</v>
      </c>
    </row>
    <row r="39" spans="1:3" x14ac:dyDescent="0.2">
      <c r="A39" t="s">
        <v>139</v>
      </c>
      <c r="B39" t="s">
        <v>95</v>
      </c>
      <c r="C39">
        <v>1283</v>
      </c>
    </row>
    <row r="40" spans="1:3" x14ac:dyDescent="0.2">
      <c r="A40" t="s">
        <v>86</v>
      </c>
      <c r="B40" t="s">
        <v>95</v>
      </c>
      <c r="C40">
        <v>18986</v>
      </c>
    </row>
    <row r="41" spans="1:3" x14ac:dyDescent="0.2">
      <c r="A41" t="s">
        <v>133</v>
      </c>
      <c r="B41" t="s">
        <v>95</v>
      </c>
      <c r="C41">
        <v>2439</v>
      </c>
    </row>
    <row r="42" spans="1:3" x14ac:dyDescent="0.2">
      <c r="A42" t="s">
        <v>131</v>
      </c>
      <c r="B42" t="s">
        <v>95</v>
      </c>
      <c r="C42">
        <v>733</v>
      </c>
    </row>
    <row r="43" spans="1:3" x14ac:dyDescent="0.2">
      <c r="A43" t="s">
        <v>85</v>
      </c>
      <c r="B43" t="s">
        <v>95</v>
      </c>
      <c r="C43">
        <v>1646</v>
      </c>
    </row>
    <row r="44" spans="1:3" x14ac:dyDescent="0.2">
      <c r="A44" t="s">
        <v>135</v>
      </c>
      <c r="B44" t="s">
        <v>95</v>
      </c>
      <c r="C44">
        <v>2419</v>
      </c>
    </row>
    <row r="45" spans="1:3" x14ac:dyDescent="0.2">
      <c r="A45" t="s">
        <v>123</v>
      </c>
      <c r="B45" t="s">
        <v>95</v>
      </c>
      <c r="C45">
        <v>846</v>
      </c>
    </row>
    <row r="46" spans="1:3" x14ac:dyDescent="0.2">
      <c r="A46" t="s">
        <v>83</v>
      </c>
      <c r="B46" t="s">
        <v>95</v>
      </c>
      <c r="C46">
        <v>1191</v>
      </c>
    </row>
    <row r="47" spans="1:3" x14ac:dyDescent="0.2">
      <c r="A47" t="s">
        <v>138</v>
      </c>
      <c r="B47" t="s">
        <v>95</v>
      </c>
      <c r="C47">
        <v>1937</v>
      </c>
    </row>
    <row r="48" spans="1:3" x14ac:dyDescent="0.2">
      <c r="A48" t="s">
        <v>89</v>
      </c>
      <c r="B48" t="s">
        <v>95</v>
      </c>
      <c r="C48">
        <v>1704</v>
      </c>
    </row>
    <row r="49" spans="1:3" x14ac:dyDescent="0.2">
      <c r="A49" t="s">
        <v>124</v>
      </c>
      <c r="B49" t="s">
        <v>95</v>
      </c>
      <c r="C49">
        <v>2134</v>
      </c>
    </row>
    <row r="50" spans="1:3" x14ac:dyDescent="0.2">
      <c r="A50" t="s">
        <v>129</v>
      </c>
      <c r="B50" t="s">
        <v>95</v>
      </c>
      <c r="C50">
        <v>1923</v>
      </c>
    </row>
    <row r="51" spans="1:3" x14ac:dyDescent="0.2">
      <c r="A51" t="s">
        <v>80</v>
      </c>
      <c r="B51" t="s">
        <v>95</v>
      </c>
      <c r="C51">
        <v>1722</v>
      </c>
    </row>
    <row r="52" spans="1:3" x14ac:dyDescent="0.2">
      <c r="A52" t="s">
        <v>130</v>
      </c>
      <c r="B52" t="s">
        <v>95</v>
      </c>
      <c r="C52">
        <v>1171</v>
      </c>
    </row>
    <row r="53" spans="1:3" x14ac:dyDescent="0.2">
      <c r="A53" t="s">
        <v>137</v>
      </c>
      <c r="B53" t="s">
        <v>95</v>
      </c>
      <c r="C53">
        <v>467</v>
      </c>
    </row>
    <row r="54" spans="1:3" x14ac:dyDescent="0.2">
      <c r="A54" t="s">
        <v>127</v>
      </c>
      <c r="B54" t="s">
        <v>95</v>
      </c>
      <c r="C54">
        <v>13414</v>
      </c>
    </row>
    <row r="55" spans="1:3" x14ac:dyDescent="0.2">
      <c r="A55" t="s">
        <v>132</v>
      </c>
      <c r="B55" t="s">
        <v>95</v>
      </c>
      <c r="C55">
        <v>1104</v>
      </c>
    </row>
    <row r="56" spans="1:3" x14ac:dyDescent="0.2">
      <c r="A56" t="s">
        <v>134</v>
      </c>
      <c r="B56" t="s">
        <v>95</v>
      </c>
      <c r="C56">
        <v>1202</v>
      </c>
    </row>
    <row r="57" spans="1:3" x14ac:dyDescent="0.2">
      <c r="A57" t="s">
        <v>155</v>
      </c>
      <c r="B57" t="s">
        <v>95</v>
      </c>
      <c r="C57">
        <v>1372</v>
      </c>
    </row>
    <row r="58" spans="1:3" x14ac:dyDescent="0.2">
      <c r="A58" t="s">
        <v>190</v>
      </c>
      <c r="B58" t="s">
        <v>95</v>
      </c>
      <c r="C58">
        <v>387</v>
      </c>
    </row>
    <row r="59" spans="1:3" x14ac:dyDescent="0.2">
      <c r="A59" t="s">
        <v>146</v>
      </c>
      <c r="B59" t="s">
        <v>95</v>
      </c>
      <c r="C59">
        <v>1221</v>
      </c>
    </row>
    <row r="60" spans="1:3" x14ac:dyDescent="0.2">
      <c r="A60" t="s">
        <v>192</v>
      </c>
      <c r="B60" t="s">
        <v>95</v>
      </c>
      <c r="C60">
        <v>375</v>
      </c>
    </row>
    <row r="61" spans="1:3" x14ac:dyDescent="0.2">
      <c r="A61" t="s">
        <v>84</v>
      </c>
      <c r="B61" t="s">
        <v>95</v>
      </c>
      <c r="C61">
        <v>828</v>
      </c>
    </row>
    <row r="62" spans="1:3" x14ac:dyDescent="0.2">
      <c r="A62" t="s">
        <v>136</v>
      </c>
      <c r="B62" t="s">
        <v>95</v>
      </c>
      <c r="C62">
        <v>1202</v>
      </c>
    </row>
    <row r="63" spans="1:3" x14ac:dyDescent="0.2">
      <c r="A63" t="s">
        <v>191</v>
      </c>
      <c r="B63" t="s">
        <v>95</v>
      </c>
      <c r="C63">
        <v>424</v>
      </c>
    </row>
    <row r="64" spans="1:3" x14ac:dyDescent="0.2">
      <c r="A64" t="s">
        <v>147</v>
      </c>
      <c r="B64" t="s">
        <v>95</v>
      </c>
      <c r="C64">
        <v>10717</v>
      </c>
    </row>
    <row r="65" spans="1:3" x14ac:dyDescent="0.2">
      <c r="A65" t="s">
        <v>141</v>
      </c>
      <c r="B65" t="s">
        <v>95</v>
      </c>
      <c r="C65">
        <v>815</v>
      </c>
    </row>
    <row r="66" spans="1:3" x14ac:dyDescent="0.2">
      <c r="A66" t="s">
        <v>143</v>
      </c>
      <c r="B66" t="s">
        <v>95</v>
      </c>
      <c r="C66">
        <v>578</v>
      </c>
    </row>
    <row r="67" spans="1:3" x14ac:dyDescent="0.2">
      <c r="A67" t="s">
        <v>144</v>
      </c>
      <c r="B67" t="s">
        <v>95</v>
      </c>
      <c r="C67">
        <v>9488</v>
      </c>
    </row>
    <row r="68" spans="1:3" x14ac:dyDescent="0.2">
      <c r="A68" t="s">
        <v>142</v>
      </c>
      <c r="B68" t="s">
        <v>95</v>
      </c>
      <c r="C68">
        <v>498</v>
      </c>
    </row>
    <row r="69" spans="1:3" x14ac:dyDescent="0.2">
      <c r="A69" t="s">
        <v>140</v>
      </c>
      <c r="B69" t="s">
        <v>95</v>
      </c>
      <c r="C69">
        <v>776</v>
      </c>
    </row>
    <row r="70" spans="1:3" x14ac:dyDescent="0.2">
      <c r="A70" t="s">
        <v>153</v>
      </c>
      <c r="B70" t="s">
        <v>95</v>
      </c>
      <c r="C70">
        <v>770</v>
      </c>
    </row>
    <row r="71" spans="1:3" x14ac:dyDescent="0.2">
      <c r="A71" t="s">
        <v>193</v>
      </c>
      <c r="B71" t="s">
        <v>95</v>
      </c>
      <c r="C71">
        <v>624</v>
      </c>
    </row>
    <row r="72" spans="1:3" x14ac:dyDescent="0.2">
      <c r="A72" t="s">
        <v>76</v>
      </c>
      <c r="B72" t="s">
        <v>95</v>
      </c>
      <c r="C72">
        <v>381</v>
      </c>
    </row>
    <row r="73" spans="1:3" x14ac:dyDescent="0.2">
      <c r="A73" t="s">
        <v>148</v>
      </c>
      <c r="B73" t="s">
        <v>95</v>
      </c>
      <c r="C73">
        <v>135</v>
      </c>
    </row>
    <row r="74" spans="1:3" x14ac:dyDescent="0.2">
      <c r="A74" t="s">
        <v>145</v>
      </c>
      <c r="B74" t="s">
        <v>95</v>
      </c>
      <c r="C74">
        <v>2474</v>
      </c>
    </row>
    <row r="75" spans="1:3" x14ac:dyDescent="0.2">
      <c r="A75" t="s">
        <v>75</v>
      </c>
      <c r="B75" t="s">
        <v>95</v>
      </c>
      <c r="C75">
        <v>4500</v>
      </c>
    </row>
    <row r="76" spans="1:3" x14ac:dyDescent="0.2">
      <c r="A76" t="s">
        <v>194</v>
      </c>
      <c r="B76" t="s">
        <v>95</v>
      </c>
      <c r="C76">
        <v>375</v>
      </c>
    </row>
    <row r="77" spans="1:3" x14ac:dyDescent="0.2">
      <c r="A77" t="s">
        <v>78</v>
      </c>
      <c r="B77" t="s">
        <v>95</v>
      </c>
      <c r="C77">
        <v>126</v>
      </c>
    </row>
    <row r="78" spans="1:3" x14ac:dyDescent="0.2">
      <c r="A78" t="s">
        <v>195</v>
      </c>
      <c r="B78" t="s">
        <v>95</v>
      </c>
      <c r="C78">
        <v>123</v>
      </c>
    </row>
    <row r="79" spans="1:3" x14ac:dyDescent="0.2">
      <c r="A79" t="s">
        <v>156</v>
      </c>
      <c r="B79" t="s">
        <v>95</v>
      </c>
      <c r="C79">
        <v>403</v>
      </c>
    </row>
    <row r="80" spans="1:3" x14ac:dyDescent="0.2">
      <c r="A80" t="s">
        <v>150</v>
      </c>
      <c r="B80" t="s">
        <v>95</v>
      </c>
      <c r="C80">
        <v>707</v>
      </c>
    </row>
    <row r="81" spans="1:3" x14ac:dyDescent="0.2">
      <c r="A81" t="s">
        <v>92</v>
      </c>
      <c r="B81" t="s">
        <v>95</v>
      </c>
      <c r="C81">
        <v>1307</v>
      </c>
    </row>
    <row r="82" spans="1:3" x14ac:dyDescent="0.2">
      <c r="A82" t="s">
        <v>149</v>
      </c>
      <c r="B82" t="s">
        <v>95</v>
      </c>
      <c r="C82">
        <v>100</v>
      </c>
    </row>
    <row r="83" spans="1:3" x14ac:dyDescent="0.2">
      <c r="A83" t="s">
        <v>151</v>
      </c>
      <c r="B83" t="s">
        <v>95</v>
      </c>
      <c r="C83">
        <v>728</v>
      </c>
    </row>
    <row r="84" spans="1:3" x14ac:dyDescent="0.2">
      <c r="A84" t="s">
        <v>154</v>
      </c>
      <c r="B84" t="s">
        <v>95</v>
      </c>
      <c r="C84">
        <v>351</v>
      </c>
    </row>
    <row r="85" spans="1:3" x14ac:dyDescent="0.2">
      <c r="A85" t="s">
        <v>157</v>
      </c>
      <c r="B85" t="s">
        <v>95</v>
      </c>
      <c r="C85">
        <v>73</v>
      </c>
    </row>
    <row r="86" spans="1:3" x14ac:dyDescent="0.2">
      <c r="A86" t="s">
        <v>152</v>
      </c>
      <c r="B86" t="s">
        <v>95</v>
      </c>
      <c r="C86">
        <v>1173</v>
      </c>
    </row>
    <row r="87" spans="1:3" x14ac:dyDescent="0.2">
      <c r="A87" t="s">
        <v>197</v>
      </c>
      <c r="B87" t="s">
        <v>95</v>
      </c>
      <c r="C87">
        <v>2373</v>
      </c>
    </row>
    <row r="88" spans="1:3" x14ac:dyDescent="0.2">
      <c r="A88" t="s">
        <v>196</v>
      </c>
      <c r="B88" t="s">
        <v>95</v>
      </c>
      <c r="C88">
        <v>226</v>
      </c>
    </row>
    <row r="89" spans="1:3" x14ac:dyDescent="0.2">
      <c r="A89" t="s">
        <v>77</v>
      </c>
      <c r="B89" t="s">
        <v>95</v>
      </c>
      <c r="C89">
        <v>779</v>
      </c>
    </row>
    <row r="90" spans="1:3" x14ac:dyDescent="0.2">
      <c r="A90" t="s">
        <v>79</v>
      </c>
      <c r="B90" t="s">
        <v>95</v>
      </c>
      <c r="C90">
        <v>457</v>
      </c>
    </row>
    <row r="91" spans="1:3" x14ac:dyDescent="0.2">
      <c r="A91" t="s">
        <v>198</v>
      </c>
      <c r="B91" t="s">
        <v>95</v>
      </c>
      <c r="C91">
        <v>224</v>
      </c>
    </row>
    <row r="92" spans="1:3" x14ac:dyDescent="0.2">
      <c r="A92" t="s">
        <v>161</v>
      </c>
      <c r="B92" t="s">
        <v>95</v>
      </c>
      <c r="C92">
        <v>121</v>
      </c>
    </row>
    <row r="93" spans="1:3" x14ac:dyDescent="0.2">
      <c r="A93" t="s">
        <v>158</v>
      </c>
      <c r="B93" t="s">
        <v>95</v>
      </c>
      <c r="C93">
        <v>1142</v>
      </c>
    </row>
    <row r="94" spans="1:3" x14ac:dyDescent="0.2">
      <c r="A94" t="s">
        <v>199</v>
      </c>
      <c r="B94" t="s">
        <v>95</v>
      </c>
      <c r="C94">
        <v>119</v>
      </c>
    </row>
    <row r="95" spans="1:3" x14ac:dyDescent="0.2">
      <c r="A95" t="s">
        <v>162</v>
      </c>
      <c r="B95" t="s">
        <v>95</v>
      </c>
      <c r="C95">
        <v>237</v>
      </c>
    </row>
    <row r="96" spans="1:3" x14ac:dyDescent="0.2">
      <c r="A96" t="s">
        <v>88</v>
      </c>
      <c r="B96" t="s">
        <v>95</v>
      </c>
      <c r="C96">
        <v>87</v>
      </c>
    </row>
    <row r="97" spans="1:3" x14ac:dyDescent="0.2">
      <c r="A97" t="s">
        <v>200</v>
      </c>
      <c r="B97" t="s">
        <v>95</v>
      </c>
      <c r="C97">
        <v>29</v>
      </c>
    </row>
    <row r="98" spans="1:3" x14ac:dyDescent="0.2">
      <c r="A98" t="s">
        <v>159</v>
      </c>
      <c r="B98" t="s">
        <v>95</v>
      </c>
      <c r="C98">
        <v>28</v>
      </c>
    </row>
    <row r="99" spans="1:3" x14ac:dyDescent="0.2">
      <c r="A99" t="s">
        <v>204</v>
      </c>
      <c r="B99" t="s">
        <v>95</v>
      </c>
      <c r="C99">
        <v>84</v>
      </c>
    </row>
    <row r="100" spans="1:3" x14ac:dyDescent="0.2">
      <c r="A100" t="s">
        <v>206</v>
      </c>
      <c r="B100" t="s">
        <v>95</v>
      </c>
      <c r="C100">
        <v>74</v>
      </c>
    </row>
    <row r="101" spans="1:3" x14ac:dyDescent="0.2">
      <c r="A101" t="s">
        <v>203</v>
      </c>
      <c r="B101" t="s">
        <v>95</v>
      </c>
      <c r="C101">
        <v>48</v>
      </c>
    </row>
    <row r="102" spans="1:3" x14ac:dyDescent="0.2">
      <c r="A102" t="s">
        <v>201</v>
      </c>
      <c r="B102" t="s">
        <v>95</v>
      </c>
      <c r="C102">
        <v>54</v>
      </c>
    </row>
    <row r="103" spans="1:3" x14ac:dyDescent="0.2">
      <c r="A103" t="s">
        <v>163</v>
      </c>
      <c r="B103" t="s">
        <v>95</v>
      </c>
      <c r="C103">
        <v>53</v>
      </c>
    </row>
    <row r="104" spans="1:3" x14ac:dyDescent="0.2">
      <c r="A104" t="s">
        <v>164</v>
      </c>
      <c r="B104" t="s">
        <v>95</v>
      </c>
      <c r="C104">
        <v>267</v>
      </c>
    </row>
    <row r="105" spans="1:3" x14ac:dyDescent="0.2">
      <c r="A105" t="s">
        <v>87</v>
      </c>
      <c r="B105" t="s">
        <v>95</v>
      </c>
      <c r="C105">
        <v>114</v>
      </c>
    </row>
    <row r="106" spans="1:3" x14ac:dyDescent="0.2">
      <c r="A106" t="s">
        <v>165</v>
      </c>
      <c r="B106" t="s">
        <v>95</v>
      </c>
      <c r="C106">
        <v>7</v>
      </c>
    </row>
    <row r="107" spans="1:3" x14ac:dyDescent="0.2">
      <c r="A107" t="s">
        <v>202</v>
      </c>
      <c r="B107" t="s">
        <v>95</v>
      </c>
      <c r="C107">
        <v>39</v>
      </c>
    </row>
    <row r="108" spans="1:3" x14ac:dyDescent="0.2">
      <c r="A108" t="s">
        <v>166</v>
      </c>
      <c r="B108" t="s">
        <v>95</v>
      </c>
      <c r="C108">
        <v>11</v>
      </c>
    </row>
    <row r="109" spans="1:3" x14ac:dyDescent="0.2">
      <c r="A109" t="s">
        <v>167</v>
      </c>
      <c r="B109" t="s">
        <v>95</v>
      </c>
      <c r="C109">
        <v>155</v>
      </c>
    </row>
    <row r="110" spans="1:3" x14ac:dyDescent="0.2">
      <c r="A110" t="s">
        <v>205</v>
      </c>
      <c r="B110" t="s">
        <v>95</v>
      </c>
      <c r="C110">
        <v>11</v>
      </c>
    </row>
    <row r="111" spans="1:3" x14ac:dyDescent="0.2">
      <c r="A111" t="s">
        <v>168</v>
      </c>
      <c r="B111" t="s">
        <v>95</v>
      </c>
      <c r="C111">
        <v>7</v>
      </c>
    </row>
    <row r="112" spans="1:3" x14ac:dyDescent="0.2">
      <c r="A112" t="s">
        <v>209</v>
      </c>
      <c r="B112" t="s">
        <v>95</v>
      </c>
      <c r="C112">
        <v>12</v>
      </c>
    </row>
    <row r="113" spans="1:3" x14ac:dyDescent="0.2">
      <c r="A113" t="s">
        <v>222</v>
      </c>
      <c r="B113" t="s">
        <v>95</v>
      </c>
      <c r="C113">
        <v>4</v>
      </c>
    </row>
    <row r="114" spans="1:3" x14ac:dyDescent="0.2">
      <c r="A114" t="s">
        <v>169</v>
      </c>
      <c r="B114" t="s">
        <v>95</v>
      </c>
      <c r="C114">
        <v>5</v>
      </c>
    </row>
    <row r="115" spans="1:3" x14ac:dyDescent="0.2">
      <c r="A115" t="s">
        <v>170</v>
      </c>
      <c r="B115" t="s">
        <v>95</v>
      </c>
      <c r="C115">
        <v>2</v>
      </c>
    </row>
    <row r="116" spans="1:3" x14ac:dyDescent="0.2">
      <c r="A116" t="s">
        <v>223</v>
      </c>
      <c r="B116" t="s">
        <v>95</v>
      </c>
      <c r="C116">
        <v>7</v>
      </c>
    </row>
    <row r="117" spans="1:3" x14ac:dyDescent="0.2">
      <c r="A117" t="s">
        <v>207</v>
      </c>
      <c r="B117" t="s">
        <v>95</v>
      </c>
      <c r="C117">
        <v>12</v>
      </c>
    </row>
    <row r="118" spans="1:3" x14ac:dyDescent="0.2">
      <c r="A118" t="s">
        <v>208</v>
      </c>
      <c r="B118" t="s">
        <v>95</v>
      </c>
      <c r="C118">
        <v>2</v>
      </c>
    </row>
  </sheetData>
  <autoFilter ref="A1:C1" xr:uid="{A9D08756-368E-4F45-97A5-D36090DEEB45}">
    <sortState xmlns:xlrd2="http://schemas.microsoft.com/office/spreadsheetml/2017/richdata2" ref="A2:C116">
      <sortCondition ref="A1"/>
    </sortState>
  </autoFilter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614A22-D196-4905-9F12-80BBFD562F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ae0adb3-8717-46ff-a4b9-d0edecfe40f3}" enabled="0" method="" siteId="{5ae0adb3-8717-46ff-a4b9-d0edecfe40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Monday</vt:lpstr>
      <vt:lpstr>mondayID</vt:lpstr>
      <vt:lpstr>Elastic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Morten Sigaard Jacobsen</dc:creator>
  <cp:lastModifiedBy>Morten Sigaard Jacobsen</cp:lastModifiedBy>
  <cp:revision>0</cp:revision>
  <dcterms:created xsi:type="dcterms:W3CDTF">2024-02-05T06:59:34Z</dcterms:created>
  <dcterms:modified xsi:type="dcterms:W3CDTF">2024-05-28T13:21:14Z</dcterms:modified>
</cp:coreProperties>
</file>